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car" sheetId="1" state="visible" r:id="rId1"/>
    <sheet name="Placar Promessas" sheetId="2" state="visible" r:id="rId2"/>
    <sheet name="Checagens" sheetId="3" state="visible" r:id="rId3"/>
    <sheet name="Promessas" sheetId="4" state="visible" r:id="rId4"/>
    <sheet name="Falsas e exageradas" sheetId="5" state="visible" r:id="rId5"/>
    <sheet name="Revisão independente" sheetId="6" state="visible" r:id="rId6"/>
    <sheet name="Fontes" sheetId="7" state="visible" r:id="rId7"/>
    <sheet name="Fontes excluídas" sheetId="8" state="visible" r:id="rId8"/>
    <sheet name="Metodologia" sheetId="9" state="visible" r:id="rId9"/>
    <sheet name="Transcrição" sheetId="10" state="visible" r:id="rId10"/>
  </sheets>
  <definedNames>
    <definedName name="_xlnm._FilterDatabase" localSheetId="2" hidden="1">'Checagens'!$A$1:$K$92</definedName>
    <definedName name="_xlnm._FilterDatabase" localSheetId="3" hidden="1">'Promessas'!$A$1:$P$41</definedName>
    <definedName name="_xlnm._FilterDatabase" localSheetId="5" hidden="1">'Revisão independente'!$A$1:$G$92</definedName>
    <definedName name="_xlnm._FilterDatabase" localSheetId="6" hidden="1">'Fontes'!$A$1:$D$517</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Arial"/>
      <b val="1"/>
      <color rgb="00FFFFFF"/>
    </font>
    <font>
      <name val="Arial"/>
      <sz val="10"/>
    </font>
    <font>
      <name val="Arial"/>
      <b val="1"/>
      <sz val="10"/>
    </font>
    <font>
      <name val="Arial"/>
      <b val="1"/>
      <sz val="14"/>
    </font>
    <font>
      <name val="Arial"/>
      <i val="1"/>
      <color rgb="00595959"/>
      <sz val="9"/>
    </font>
    <font>
      <name val="Arial"/>
      <b val="1"/>
    </font>
    <font>
      <name val="Arial"/>
      <b val="1"/>
      <sz val="12"/>
    </font>
  </fonts>
  <fills count="9">
    <fill>
      <patternFill/>
    </fill>
    <fill>
      <patternFill patternType="gray125"/>
    </fill>
    <fill>
      <patternFill patternType="solid">
        <fgColor rgb="001F3864"/>
      </patternFill>
    </fill>
    <fill>
      <patternFill patternType="solid">
        <fgColor rgb="00E2F0D9"/>
      </patternFill>
    </fill>
    <fill>
      <patternFill patternType="solid">
        <fgColor rgb="00FFEB9C"/>
      </patternFill>
    </fill>
    <fill>
      <patternFill patternType="solid">
        <fgColor rgb="00C6EFCE"/>
      </patternFill>
    </fill>
    <fill>
      <patternFill patternType="solid">
        <fgColor rgb="00FFC7CE"/>
      </patternFill>
    </fill>
    <fill>
      <patternFill patternType="solid">
        <fgColor rgb="00D9D9D9"/>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45">
    <xf numFmtId="0" fontId="0" fillId="0" borderId="0" pivotButton="0" quotePrefix="0" xfId="0"/>
    <xf numFmtId="0" fontId="4" fillId="0" borderId="0" pivotButton="0" quotePrefix="0" xfId="0"/>
    <xf numFmtId="0" fontId="5" fillId="0" borderId="0" pivotButton="0" quotePrefix="0" xfId="0"/>
    <xf numFmtId="0" fontId="1" fillId="2" borderId="1" applyAlignment="1" pivotButton="0" quotePrefix="0" xfId="0">
      <alignment horizontal="center" vertical="center" wrapText="1"/>
    </xf>
    <xf numFmtId="0" fontId="2" fillId="5" borderId="1" pivotButton="0" quotePrefix="0" xfId="0"/>
    <xf numFmtId="0" fontId="2" fillId="0" borderId="1" applyAlignment="1" pivotButton="0" quotePrefix="0" xfId="0">
      <alignment horizontal="center"/>
    </xf>
    <xf numFmtId="0" fontId="2" fillId="3" borderId="1" pivotButton="0" quotePrefix="0" xfId="0"/>
    <xf numFmtId="0" fontId="2" fillId="4" borderId="1" pivotButton="0" quotePrefix="0" xfId="0"/>
    <xf numFmtId="0" fontId="2" fillId="6" borderId="1" pivotButton="0" quotePrefix="0" xfId="0"/>
    <xf numFmtId="0" fontId="2" fillId="7" borderId="1" pivotButton="0" quotePrefix="0" xfId="0"/>
    <xf numFmtId="0" fontId="3" fillId="0" borderId="1" pivotButton="0" quotePrefix="0" xfId="0"/>
    <xf numFmtId="0" fontId="3" fillId="0" borderId="1"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6" fillId="0" borderId="2" pivotButton="0" quotePrefix="0" xfId="0"/>
    <xf numFmtId="0" fontId="2" fillId="0" borderId="1" pivotButton="0" quotePrefix="0" xfId="0"/>
    <xf numFmtId="164" fontId="2" fillId="0" borderId="1" applyAlignment="1" pivotButton="0" quotePrefix="0" xfId="0">
      <alignment horizontal="center"/>
    </xf>
    <xf numFmtId="164" fontId="3" fillId="0" borderId="1" applyAlignment="1" pivotButton="0" quotePrefix="0" xfId="0">
      <alignment horizontal="center"/>
    </xf>
    <xf numFmtId="9" fontId="2" fillId="0" borderId="1" applyAlignment="1" pivotButton="0" quotePrefix="0" xfId="0">
      <alignment horizontal="center"/>
    </xf>
    <xf numFmtId="0" fontId="6" fillId="0" borderId="0" pivotButton="0" quotePrefix="0" xfId="0"/>
    <xf numFmtId="1" fontId="2" fillId="0" borderId="1" applyAlignment="1" pivotButton="0" quotePrefix="0" xfId="0">
      <alignment horizontal="center"/>
    </xf>
    <xf numFmtId="0" fontId="2"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1" fillId="2" borderId="0" pivotButton="0" quotePrefix="0" xfId="0"/>
    <xf numFmtId="9" fontId="3" fillId="6" borderId="1" applyAlignment="1" pivotButton="0" quotePrefix="0" xfId="0">
      <alignment horizontal="center" vertical="top"/>
    </xf>
    <xf numFmtId="9" fontId="2" fillId="0" borderId="1" applyAlignment="1" pivotButton="0" quotePrefix="0" xfId="0">
      <alignment horizontal="center" vertical="top"/>
    </xf>
    <xf numFmtId="9" fontId="3" fillId="4" borderId="1" applyAlignment="1" pivotButton="0" quotePrefix="0" xfId="0">
      <alignment horizontal="center" vertical="top"/>
    </xf>
    <xf numFmtId="9" fontId="3" fillId="5" borderId="1" applyAlignment="1" pivotButton="0" quotePrefix="0" xfId="0">
      <alignment horizontal="center" vertical="top"/>
    </xf>
    <xf numFmtId="0" fontId="2" fillId="4" borderId="1" applyAlignment="1" pivotButton="0" quotePrefix="0" xfId="0">
      <alignment vertical="top" wrapText="1"/>
    </xf>
    <xf numFmtId="0" fontId="2" fillId="6" borderId="1" applyAlignment="1" pivotButton="0" quotePrefix="0" xfId="0">
      <alignment vertical="top" wrapText="1"/>
    </xf>
    <xf numFmtId="0" fontId="2" fillId="8" borderId="1" applyAlignment="1" pivotButton="0" quotePrefix="0" xfId="0">
      <alignment vertical="top" wrapText="1"/>
    </xf>
    <xf numFmtId="0" fontId="7" fillId="0" borderId="0" pivotButton="0" quotePrefix="0" xfId="0"/>
    <xf numFmtId="0" fontId="5" fillId="0" borderId="0" applyAlignment="1" pivotButton="0" quotePrefix="0" xfId="0">
      <alignment vertical="top" wrapText="1"/>
    </xf>
    <xf numFmtId="0" fontId="1" fillId="2" borderId="1" pivotButton="0" quotePrefix="0" xfId="0"/>
    <xf numFmtId="0" fontId="3" fillId="0" borderId="0" pivotButton="0" quotePrefix="0" xfId="0"/>
    <xf numFmtId="0" fontId="2" fillId="0" borderId="0" applyAlignment="1" pivotButton="0" quotePrefix="0" xfId="0">
      <alignment vertical="top" wrapText="1"/>
    </xf>
    <xf numFmtId="0" fontId="3" fillId="5" borderId="0" pivotButton="0" quotePrefix="0" xfId="0"/>
    <xf numFmtId="0" fontId="3" fillId="3" borderId="0" pivotButton="0" quotePrefix="0" xfId="0"/>
    <xf numFmtId="0" fontId="3" fillId="4" borderId="0" pivotButton="0" quotePrefix="0" xfId="0"/>
    <xf numFmtId="0" fontId="3" fillId="6" borderId="0" pivotButton="0" quotePrefix="0" xfId="0"/>
    <xf numFmtId="0" fontId="3"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t>Vereditos por candidato</a:t>
            </a:r>
          </a:p>
        </rich>
      </tx>
    </title>
    <plotArea>
      <barChart>
        <barDir val="bar"/>
        <grouping val="clustered"/>
        <ser>
          <idx val="0"/>
          <order val="0"/>
          <tx>
            <strRef>
              <f>'Placar'!B4</f>
            </strRef>
          </tx>
          <spPr>
            <a:ln>
              <a:prstDash val="solid"/>
            </a:ln>
          </spPr>
          <cat>
            <numRef>
              <f>'Placar'!$A$5:$A$9</f>
            </numRef>
          </cat>
          <val>
            <numRef>
              <f>'Placar'!$B$5:$B$9</f>
            </numRef>
          </val>
        </ser>
        <ser>
          <idx val="1"/>
          <order val="1"/>
          <tx>
            <strRef>
              <f>'Placar'!C4</f>
            </strRef>
          </tx>
          <spPr>
            <a:ln>
              <a:prstDash val="solid"/>
            </a:ln>
          </spPr>
          <cat>
            <numRef>
              <f>'Placar'!$A$5:$A$9</f>
            </numRef>
          </cat>
          <val>
            <numRef>
              <f>'Placar'!$C$5:$C$9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Promessas por faixa de viabilidade</a:t>
            </a:r>
          </a:p>
        </rich>
      </tx>
    </title>
    <plotArea>
      <barChart>
        <barDir val="col"/>
        <grouping val="clustered"/>
        <ser>
          <idx val="0"/>
          <order val="0"/>
          <tx>
            <v>Flávio Bolsonaro</v>
          </tx>
          <spPr>
            <a:ln>
              <a:prstDash val="solid"/>
            </a:ln>
          </spPr>
          <cat>
            <numRef>
              <f>'Placar Promessas'!$A$9:$A$11</f>
            </numRef>
          </cat>
          <val>
            <numRef>
              <f>'Placar Promessas'!$B$9:$B$11</f>
            </numRef>
          </val>
        </ser>
        <ser>
          <idx val="1"/>
          <order val="1"/>
          <tx>
            <v>Lula</v>
          </tx>
          <spPr>
            <a:ln>
              <a:prstDash val="solid"/>
            </a:ln>
          </spPr>
          <cat>
            <numRef>
              <f>'Placar Promessas'!$A$9:$A$11</f>
            </numRef>
          </cat>
          <val>
            <numRef>
              <f>'Placar Promessas'!$C$9:$C$11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hyperlink" Target="https://portal.tcu.gov.br/imprensa/noticias/brasil-tem-86-mil-obras-paralisadas-financiadas-com-recursos-federais" TargetMode="External" Id="rId1" /><Relationship Type="http://schemas.openxmlformats.org/officeDocument/2006/relationships/hyperlink" Target="https://sites.tcu.gov.br/relatorio-de-politicas/2019/area_12.htm" TargetMode="External" Id="rId2" /><Relationship Type="http://schemas.openxmlformats.org/officeDocument/2006/relationships/hyperlink" Target="https://www.opovo.com.br/noticias/economia/2023/10/18/tcu-diz-que-nao-existiu-entre-2019-e-2022-politicas-para-obras-paralisadas-e-cobra-medidas.html" TargetMode="External" Id="rId3" /><Relationship Type="http://schemas.openxmlformats.org/officeDocument/2006/relationships/hyperlink" Target="https://portal.tcu.gov.br/imprensa/noticias/metade-das-obras-financiadas-com-recursos-federais-estao-paradas" TargetMode="External" Id="rId4" /><Relationship Type="http://schemas.openxmlformats.org/officeDocument/2006/relationships/hyperlink" Target="https://viva.com.br/noticias/brasil-tem-mais-de-11-mil-obras-paradas-para-tcu-volume-e-preocupante.html" TargetMode="External" Id="rId5" /><Relationship Type="http://schemas.openxmlformats.org/officeDocument/2006/relationships/hyperlink" Target="https://www.infomoney.com.br/?p=1881372" TargetMode="External" Id="rId6" /><Relationship Type="http://schemas.openxmlformats.org/officeDocument/2006/relationships/hyperlink" Target="https://oespecialista.safra.com.br/tcu-aprova-concessao-da-dutra-e-isencao-de-pedagio-para-motos/" TargetMode="External" Id="rId7" /><Relationship Type="http://schemas.openxmlformats.org/officeDocument/2006/relationships/hyperlink" Target="https://www.motoo.com.br/novas-concessoes-de-rodovias-federais-terao-isencao-de-pedagio-para-motos/" TargetMode="External" Id="rId8" /><Relationship Type="http://schemas.openxmlformats.org/officeDocument/2006/relationships/hyperlink" Target="https://www.agazeta.com.br/es/economia/motos-ficarao-livres-de-pagar-pedagio-na-br-262-apos-concessao-0721" TargetMode="External" Id="rId9" /><Relationship Type="http://schemas.openxmlformats.org/officeDocument/2006/relationships/hyperlink" Target="https://www.nic.br/noticia/na-midia/mais-de-21-3-mil-pontos-de-internet-do-wi-fi-brasil-sao-instalados/" TargetMode="External" Id="rId10" /><Relationship Type="http://schemas.openxmlformats.org/officeDocument/2006/relationships/hyperlink" Target="https://agenciabrasil.ebc.com.br/geral/noticia/2021-04/programa-leva-internet-areas-remotas-do-pais" TargetMode="External" Id="rId11" /><Relationship Type="http://schemas.openxmlformats.org/officeDocument/2006/relationships/hyperlink" Target="https://www.minhaoperadora.com.br/2022/06/governo-entregou-mais-de-17-mil-pontos-wi-fi-a-populacao.html" TargetMode="External" Id="rId12" /><Relationship Type="http://schemas.openxmlformats.org/officeDocument/2006/relationships/hyperlink" Target="https://agenciasebrae.com.br/inovacao/wi-fi-brasil-sebrae-inicia-instalacao-dos-pontos-de-conexao" TargetMode="External" Id="rId13" /><Relationship Type="http://schemas.openxmlformats.org/officeDocument/2006/relationships/hyperlink" Target="https://www.correiobraziliense.com.br/politica/2022/04/amp/5000113-bolsonaro-sobre-internet-vamos-entregar-todo-o-brasil-conectado-ate-dezembro.html" TargetMode="External" Id="rId14" /><Relationship Type="http://schemas.openxmlformats.org/officeDocument/2006/relationships/hyperlink" Target="https://teletime.com.br/11/01/2021/macaiba-rn-recebe-ponto-de-internet-do-programa-wi-fi-brasil/" TargetMode="External" Id="rId15" /><Relationship Type="http://schemas.openxmlformats.org/officeDocument/2006/relationships/hyperlink" Target="https://www.reformatributaria.com/economia-reforma-tributaria-impactos/carga-tributaria-bate-recorde-em-2025-e-atinge-324-do-pib/" TargetMode="External" Id="rId16" /><Relationship Type="http://schemas.openxmlformats.org/officeDocument/2006/relationships/hyperlink" Target="https://economicnewsbrasil.com.br/2026/04/11/carga-tributaria-brasil-2025-tesouro-dados/" TargetMode="External" Id="rId17" /><Relationship Type="http://schemas.openxmlformats.org/officeDocument/2006/relationships/hyperlink" Target="https://www.contabeis.com.br/noticias/76330/carga-tributaria-do-brasil-atinge-recorde-de-32-4-do-pib-em-2025/" TargetMode="External" Id="rId18" /><Relationship Type="http://schemas.openxmlformats.org/officeDocument/2006/relationships/hyperlink" Target="https://www.infomoney.com.br/?p=2703795" TargetMode="External" Id="rId19" /><Relationship Type="http://schemas.openxmlformats.org/officeDocument/2006/relationships/hyperlink" Target="https://www.moneytimes.com.br/brasil-tera-maior-aliquota-do-mundo-apos-reforma-tributaria-no-senado-jals/" TargetMode="External" Id="rId20" /><Relationship Type="http://schemas.openxmlformats.org/officeDocument/2006/relationships/hyperlink" Target="https://edicao.correiobraziliense.com.br/correiobraziliense/2025/01/17/13530f/pdf/A02-POL-1701-DIG.pdf" TargetMode="External" Id="rId21" /><Relationship Type="http://schemas.openxmlformats.org/officeDocument/2006/relationships/hyperlink" Target="https://www.correiobraziliense.com.br/politica/2022/08/5029151-bolsonaro-rebate-lula-e-volta-a-prometer-auxilio-de-rs-600-em-2023.html" TargetMode="External" Id="rId22" /><Relationship Type="http://schemas.openxmlformats.org/officeDocument/2006/relationships/hyperlink" Target="https://jornalcontabil.com.br/noticia/este-sera-o-novo-valor-do-auxilio-brasil-2023-veja-agora/" TargetMode="External" Id="rId23" /><Relationship Type="http://schemas.openxmlformats.org/officeDocument/2006/relationships/hyperlink" Target="https://www.camara.leg.br/noticias/973711-SANCIONADA-LEI-QUE-RECRIA-O-PROGRAMA-BOLSA-FAMILIA" TargetMode="External" Id="rId24" /><Relationship Type="http://schemas.openxmlformats.org/officeDocument/2006/relationships/hyperlink" Target="https://www.planalto.gov.br/ccivil_03/_ato2023-2026/2023/lei/l14601.htm" TargetMode="External" Id="rId25" /><Relationship Type="http://schemas.openxmlformats.org/officeDocument/2006/relationships/hyperlink" Target="https://www.infomoney.com.br/?p=1885250" TargetMode="External" Id="rId26" /><Relationship Type="http://schemas.openxmlformats.org/officeDocument/2006/relationships/hyperlink" Target="https://diariodonordeste.verdesmares.com.br/negocios/reduflacao-ocorre-mais-no-azeite-manteiga-e-cafe-aponta-estudo-veja-produtos-1.3531679" TargetMode="External" Id="rId27" /><Relationship Type="http://schemas.openxmlformats.org/officeDocument/2006/relationships/hyperlink" Target="https://goias.gov.br/procon/wp-content/uploads/sites/19/2024/09/PLANILHA-GERAL-PESQUISA-DE-PRECOS-PRODUTOS-DE-LIMPEZA-E-HIGIENE-PESSOAL.pdf" TargetMode="External" Id="rId28" /><Relationship Type="http://schemas.openxmlformats.org/officeDocument/2006/relationships/hyperlink" Target="https://abcdoabc.com.br/procon-santo-andre-alerta-consumidores-sobre-reduflacao/" TargetMode="External" Id="rId29" /><Relationship Type="http://schemas.openxmlformats.org/officeDocument/2006/relationships/hyperlink" Target="https://www.poder360.com.br/poder-economia/mesmo-com-corte-brasil-tem-o-maior-juro-real-do-planeta/" TargetMode="External" Id="rId30" /><Relationship Type="http://schemas.openxmlformats.org/officeDocument/2006/relationships/hyperlink" Target="https://www.moneytimes.com.br/selic-a-1450-brasil-segue-com-o-2o-maior-juro-real-do-mundo-mesmo-apos-corte-jcav/" TargetMode="External" Id="rId31" /><Relationship Type="http://schemas.openxmlformats.org/officeDocument/2006/relationships/hyperlink" Target="https://www.poder360.com.br/poder-economia/brasil-mantem-maior-juro-real-do-mundo-diz-pesquisa/" TargetMode="External" Id="rId32" /><Relationship Type="http://schemas.openxmlformats.org/officeDocument/2006/relationships/hyperlink" Target="https://www.poder360.com.br/eleicoes/lula-diz-que-nao-generalizou-ao-ligar-agro-ao-fascismo/" TargetMode="External" Id="rId33" /><Relationship Type="http://schemas.openxmlformats.org/officeDocument/2006/relationships/hyperlink" Target="https://jornaldebrasilia.com.br/noticias/politica-e-poder/aliado-de-lula-no-agro-diz-que-petista-errou-e-precisa-se-desculpar-por-fala-sobre-fascismo/" TargetMode="External" Id="rId34" /><Relationship Type="http://schemas.openxmlformats.org/officeDocument/2006/relationships/hyperlink" Target="https://www.canalrural.com.br/politica/tereza-cristina-rebate-lula-apos-fala-sobre-agro-isso-nao-se-faz-com-bravatas/" TargetMode="External" Id="rId35" /><Relationship Type="http://schemas.openxmlformats.org/officeDocument/2006/relationships/hyperlink" Target="https://timesbrasil.com.br/empresas-e-negocios/agro/plano-safra-26-27-governo-eleva-credito-a-r-5251-bilhoes-e-impoe-taxa-maxima-de-juros-no-campo/" TargetMode="External" Id="rId36" /><Relationship Type="http://schemas.openxmlformats.org/officeDocument/2006/relationships/hyperlink" Target="https://agfeed.com.br/economia/plano-safra-cresce-menos-que-a-inflacao-e-agricultura-empresarial-tera-menos-recursos-para-o-custeio" TargetMode="External" Id="rId37" /><Relationship Type="http://schemas.openxmlformats.org/officeDocument/2006/relationships/hyperlink" Target="https://www.canalrural.com.br/politica/bloqueio-de-r-4617-milhoes-no-psr-e-atribuido-a-restricoes-fiscais/" TargetMode="External" Id="rId38" /><Relationship Type="http://schemas.openxmlformats.org/officeDocument/2006/relationships/hyperlink" Target="https://www.canalrural.com.br/politica/plano-safra-da-agricultura-familiar-preve-r-973-bilhoes-para-2026-2027/" TargetMode="External" Id="rId39" /><Relationship Type="http://schemas.openxmlformats.org/officeDocument/2006/relationships/hyperlink" Target="https://www.poder360.com.br/internacional/milei-assume-argentina-com-inflacao-em-expansao-e-pobreza-alta/" TargetMode="External" Id="rId40" /><Relationship Type="http://schemas.openxmlformats.org/officeDocument/2006/relationships/hyperlink" Target="https://www.opovo.com.br/noticias/mundo/2024/01/26/argentina-torna-se-o-pais-com-maior-inflacao-do-mundo.html" TargetMode="External" Id="rId41" /><Relationship Type="http://schemas.openxmlformats.org/officeDocument/2006/relationships/hyperlink" Target="https://www.bloomberglinea.com.br/internacional/argentina-corta-juros-pela-sexta-vez-para-40-com-desaceleracao-da-inflacao" TargetMode="External" Id="rId42" /><Relationship Type="http://schemas.openxmlformats.org/officeDocument/2006/relationships/hyperlink" Target="https://www.nbcnews.com/news/latino/argentina-inflation-surges-200-hitting-highest-level-decades-rcna133557" TargetMode="External" Id="rId43" /><Relationship Type="http://schemas.openxmlformats.org/officeDocument/2006/relationships/hyperlink" Target="https://www.poder360.com.br/poder-economia/pacote-de-bondades-de-lula-soma-r-4032-bi-em-ano-eleitoral/" TargetMode="External" Id="rId44" /><Relationship Type="http://schemas.openxmlformats.org/officeDocument/2006/relationships/hyperlink" Target="https://www.correiodamanha.com.br/nacional/sul/2026/05/284088-rs-verba-de-auxilio-reconstrucao-chega-a-94.html" TargetMode="External" Id="rId45" /><Relationship Type="http://schemas.openxmlformats.org/officeDocument/2006/relationships/hyperlink" Target="https://portal.tcu.gov.br/imprensa/noticias/tribunal-acompanha-repasses-para-reconstrucao-de-municipios-gauchos" TargetMode="External" Id="rId46" /><Relationship Type="http://schemas.openxmlformats.org/officeDocument/2006/relationships/hyperlink" Target="https://www.infomoney.com.br/?p=2481163" TargetMode="External" Id="rId47" /><Relationship Type="http://schemas.openxmlformats.org/officeDocument/2006/relationships/hyperlink" Target="https://www.gov.br/cidades/pt-br/assuntos/noticias-1/noticia-mcid-n-996/ReleaseSINISA.pdf/@@download/file" TargetMode="External" Id="rId48" /><Relationship Type="http://schemas.openxmlformats.org/officeDocument/2006/relationships/hyperlink" Target="https://www.correiobraziliense.com.br/brasil/2024/07/6898213-muito-pouco-a-comemorar-nos-quatro-anos-do-marco-legal-do-saneamento.html" TargetMode="External" Id="rId49" /><Relationship Type="http://schemas.openxmlformats.org/officeDocument/2006/relationships/hyperlink" Target="https://agenciainfra.com/blog/?p=36843" TargetMode="External" Id="rId50" /><Relationship Type="http://schemas.openxmlformats.org/officeDocument/2006/relationships/hyperlink" Target="https://www.poder360.com.br/economia/lider-do-pt-no-senado-diz-que-vai-propor-adiamento-de-marco-do-saneamento/" TargetMode="External" Id="rId51" /><Relationship Type="http://schemas.openxmlformats.org/officeDocument/2006/relationships/hyperlink" Target="https://www.gov.br/cidades/pt-br/acesso-a-informacao/acoes-e-programas/saneamento/sinisa/resultados-sinisa/RELATORIO_SINISA_ESGOTAMENTO_SANITARIO_2024.pdf" TargetMode="External" Id="rId52" /><Relationship Type="http://schemas.openxmlformats.org/officeDocument/2006/relationships/hyperlink" Target="https://sbtnews.sbt.com.br/noticia/brasil/quase-32-milhoes-sem-agua-potavel-e-90-milhoes-sem-esgoto" TargetMode="External" Id="rId53" /><Relationship Type="http://schemas.openxmlformats.org/officeDocument/2006/relationships/hyperlink" Target="https://www.poder360.com.br/poder-governo/jader-filho-diz-ser-contra-prorrogar-prazo-para-universalizar-saneamento/" TargetMode="External" Id="rId54" /><Relationship Type="http://schemas.openxmlformats.org/officeDocument/2006/relationships/hyperlink" Target="https://agenciainfra.com/blog/ministro-das-cidades-rejeita-prorrogacao-do-prazo-para-universalizacao-do-saneamento-hoje-previsto-para-2033/" TargetMode="External" Id="rId55" /><Relationship Type="http://schemas.openxmlformats.org/officeDocument/2006/relationships/hyperlink" Target="https://www.correiobraziliense.com.br/politica/2023/04/5085337-lula-assina-regras-de-saneamento-e-pede-voto-de-confianca-a-empresas-publicas.html" TargetMode="External" Id="rId56" /><Relationship Type="http://schemas.openxmlformats.org/officeDocument/2006/relationships/hyperlink" Target="https://jornaldebrasilia.com.br/noticias/brasil/universalizacao-do-saneamento-so-deve-acontecer-em-2070/" TargetMode="External" Id="rId57" /><Relationship Type="http://schemas.openxmlformats.org/officeDocument/2006/relationships/hyperlink" Target="https://noticias.portaldaindustria.com.br/noticias/infraestrutura/pais-so-atingira-meta-de-universalizacao-dos-servicos-de-saneamento-em-2054-diz-estudo-da-cni/" TargetMode="External" Id="rId58" /><Relationship Type="http://schemas.openxmlformats.org/officeDocument/2006/relationships/hyperlink" Target="https://www.poder360.com.br/eleicoes/assista-aos-2-videos-com-bolsonaro-imitando-ter-falta-de-ar/" TargetMode="External" Id="rId59" /><Relationship Type="http://schemas.openxmlformats.org/officeDocument/2006/relationships/hyperlink" Target="https://www.poder360.com.br/coronavirus/bolsonaro-imita-pessoa-com-falta-de-ar-e-critica-mandetta/" TargetMode="External" Id="rId60" /><Relationship Type="http://schemas.openxmlformats.org/officeDocument/2006/relationships/hyperlink" Target="https://www.em.com.br/app/noticia/politica/2021/03/18/interna_politica,1248339/amp.html" TargetMode="External" Id="rId61" /><Relationship Type="http://schemas.openxmlformats.org/officeDocument/2006/relationships/hyperlink" Target="https://www.poder360.com.br/governo/bolsonaro-volta-a-imitar-pessoa-com-falta-de-ar-e-chama-mandetta-de-canalha/" TargetMode="External" Id="rId62" /><Relationship Type="http://schemas.openxmlformats.org/officeDocument/2006/relationships/hyperlink" Target="https://www.cnnbrasil.com.br/nacional/brasil/mortes-violentas-caem-82-no-brasil-em-2025-sete-estados-registram-alta/" TargetMode="External" Id="rId63" /><Relationship Type="http://schemas.openxmlformats.org/officeDocument/2006/relationships/hyperlink" Target="https://www.diariodepernambuco.com.br/vida-urbana/2026/01/11706604-pernambuco-e-o-4-estado-mais-violento-do-brasil-aponta-anuario-de-seguranca.html" TargetMode="External" Id="rId64" /><Relationship Type="http://schemas.openxmlformats.org/officeDocument/2006/relationships/hyperlink" Target="https://brasil61.com/n/anuario-de-seguranca-publica-nordeste-concentra-as-10-cidades-mais-violentas-do-brasil-em-2025-bras2616775.amp" TargetMode="External" Id="rId65" /><Relationship Type="http://schemas.openxmlformats.org/officeDocument/2006/relationships/hyperlink" Target="https://www.poder360.com.br/eleicoes/lula-e-bolsonaro-disputam-ganho-politico-do-rio-sao-francisco/" TargetMode="External" Id="rId66" /><Relationship Type="http://schemas.openxmlformats.org/officeDocument/2006/relationships/hyperlink" Target="https://diariodonordeste.verdesmares.com.br/regiao/obra-da-transposicao-do-sao-francisco-atrasa-mais-uma-vez-1.2043082" TargetMode="External" Id="rId67" /><Relationship Type="http://schemas.openxmlformats.org/officeDocument/2006/relationships/hyperlink" Target="https://www.folhavitoria.com.br/economia/ministro-promete-transposicao-do-sao-francisco-para-2016/" TargetMode="External" Id="rId68" /><Relationship Type="http://schemas.openxmlformats.org/officeDocument/2006/relationships/hyperlink" Target="https://www.tnh1.com.br/noticia/nid/em-pe-dilma-diz-que-obra-de-integracao-do-sao-francisco-sera-concluida-em-2016/" TargetMode="External" Id="rId69" /><Relationship Type="http://schemas.openxmlformats.org/officeDocument/2006/relationships/hyperlink" Target="https://www.jb.com.br/pais/2019/04/996911-stj-autoriza-continuidade-das-obras-de-transposicao-do-sao-francisco.html" TargetMode="External" Id="rId70" /><Relationship Type="http://schemas.openxmlformats.org/officeDocument/2006/relationships/hyperlink" Target="https://www12.senado.leg.br/publicacoes/estudos-legislativos/tipos-de-estudos/outras-publicacoes/agenda-legislativa/capitulo-22-o-programa-bolsa-familia-caminhos-futuros" TargetMode="External" Id="rId71" /><Relationship Type="http://schemas.openxmlformats.org/officeDocument/2006/relationships/hyperlink" Target="https://www12.senado.leg.br/publicacoes/estudos-legislativos/tipos-de-estudos/boletins-legislativos/bol102" TargetMode="External" Id="rId72" /><Relationship Type="http://schemas.openxmlformats.org/officeDocument/2006/relationships/hyperlink" Target="https://www.canalrural.com.br/agricultura/bolsa-familia-fechara-2010-com-128-milhoes-familias-atendidas-18834/" TargetMode="External" Id="rId73" /><Relationship Type="http://schemas.openxmlformats.org/officeDocument/2006/relationships/hyperlink" Target="https://tribunadosertao.com.br/financas/2026/09/17/980641-antes-de-reajuste-anunciado-por-lula-valor-minimo-do-bolsa-familia-estava-em-r-600-desde-agosto-de-2022" TargetMode="External" Id="rId74" /><Relationship Type="http://schemas.openxmlformats.org/officeDocument/2006/relationships/hyperlink" Target="https://portaldeprefeitura.com.br/brasil/populacao-em-situacao-de-rua-inscrita-no-cadunico-chega-3924-mil-no/626258/" TargetMode="External" Id="rId75" /><Relationship Type="http://schemas.openxmlformats.org/officeDocument/2006/relationships/hyperlink" Target="https://www.jornalopcao.com.br/ultimas-noticias/populacao-em-situacao-de-rua-quase-dobra-no-brasil-desde-o-inicio-do-governo-lula-goias-registra-alta-de-121-844337/" TargetMode="External" Id="rId76" /><Relationship Type="http://schemas.openxmlformats.org/officeDocument/2006/relationships/hyperlink" Target="https://exame.com/brasil/mais-de-335-mil-pessoas-vivem-em-situacao-de-rua-no-brasil/" TargetMode="External" Id="rId77" /><Relationship Type="http://schemas.openxmlformats.org/officeDocument/2006/relationships/hyperlink" Target="https://www.gov.br/mdh/pt-br/navegue-por-temas/populacao-em-situacao-de-rua/publicacoes/relat_pop_rua_digital.pdf" TargetMode="External" Id="rId78" /><Relationship Type="http://schemas.openxmlformats.org/officeDocument/2006/relationships/hyperlink" Target="https://sbtnews.sbt.com.br/noticia/economia/bolsa-familia-veja-calendario-de-outubro-com-novo-reajuste" TargetMode="External" Id="rId79" /><Relationship Type="http://schemas.openxmlformats.org/officeDocument/2006/relationships/hyperlink" Target="https://www.dgabc.com.br/Noticia/4347515/bolsa-familia-e-reajustado-em-15-medida-vale-a-partir-de-outubro" TargetMode="External" Id="rId80" /><Relationship Type="http://schemas.openxmlformats.org/officeDocument/2006/relationships/hyperlink" Target="https://www.opovo.com.br/trends/bolsa-familia-sobe-15-em-outubro-minimo-vai-a-r-691-e-valor-medio-projetado-chega-a-r-777/" TargetMode="External" Id="rId81" /><Relationship Type="http://schemas.openxmlformats.org/officeDocument/2006/relationships/hyperlink" Target="https://tribunadejundiai.com.br/politica/lula-aumenta-bolsa-familia-a-17-dias-das-eleicoes/" TargetMode="External" Id="rId82" /><Relationship Type="http://schemas.openxmlformats.org/officeDocument/2006/relationships/hyperlink" Target="https://www.correiobraziliense.com.br/brasil/2026/07/amp/7467099-feminicidios-batem-recorde-em-2025-mostra-anuario-da-seguranca.html" TargetMode="External" Id="rId83" /><Relationship Type="http://schemas.openxmlformats.org/officeDocument/2006/relationships/hyperlink" Target="https://www.correiodamanha.com.br/nacional/brasil/2026/07/304588-feminicidios-atingem-recorde-no-brasil-enquanto-homicidios-recuam.html" TargetMode="External" Id="rId84" /><Relationship Type="http://schemas.openxmlformats.org/officeDocument/2006/relationships/hyperlink" Target="https://www.cnnbrasil.com.br/nacional/brasil/brasil-bate-recorde-de-feminicidios-pelo-quarto-ano-seguido/" TargetMode="External" Id="rId85" /><Relationship Type="http://schemas.openxmlformats.org/officeDocument/2006/relationships/hyperlink" Target="https://www.dgabc.com.br/Noticia/4317691/inadimplencia-bate-82-8-milhoes-de-brasileiros-em-marco-segundo-serasa" TargetMode="External" Id="rId86" /><Relationship Type="http://schemas.openxmlformats.org/officeDocument/2006/relationships/hyperlink" Target="https://www.serasa.com.br/imprensa/inadimplencia-segundo-semestre-serasa/" TargetMode="External" Id="rId87" /><Relationship Type="http://schemas.openxmlformats.org/officeDocument/2006/relationships/hyperlink" Target="https://jornalgrandebahia.com.br/2026/03/inadimplencia-no-brasil-atinge-817-milhoes-e-cresce-38-em-uma-decada-aponta-serasa/" TargetMode="External" Id="rId88" /><Relationship Type="http://schemas.openxmlformats.org/officeDocument/2006/relationships/hyperlink" Target="https://www.bnewssaopaulo.com.br/noticias/policia/fim-da-cracolandia-veja-o-que-diz-ricardo-nunes-sobre-o-avanco.html" TargetMode="External" Id="rId89" /><Relationship Type="http://schemas.openxmlformats.org/officeDocument/2006/relationships/hyperlink" Target="https://www.bnewssaopaulo.com.br/noticias/politica/fim-cracolandia-esvaziamento-repentino-levanta-questionamento-sp.html" TargetMode="External" Id="rId90" /><Relationship Type="http://schemas.openxmlformats.org/officeDocument/2006/relationships/hyperlink" Target="https://jornaldebrasilia.com.br/noticias/politica-e-poder/vice-de-nunes-cotado-para-2026-ataca-tarcisio-e-prefeito-por-fatura-politica-com-cracolandia/" TargetMode="External" Id="rId91" /><Relationship Type="http://schemas.openxmlformats.org/officeDocument/2006/relationships/hyperlink" Target="https://www.poder360.com.br/poder-economia/divida-bruta-atinge-829-do-pib-em-agosto-diz-banco-central/" TargetMode="External" Id="rId92" /><Relationship Type="http://schemas.openxmlformats.org/officeDocument/2006/relationships/hyperlink" Target="https://api.bcb.gov.br/dados/serie/bcdata.sgs.432/dados/ultimos/5?formato=json" TargetMode="External" Id="rId93" /><Relationship Type="http://schemas.openxmlformats.org/officeDocument/2006/relationships/hyperlink" Target="https://www.tribunapr.com.br/noticias/economia/divida-publica-brasileira-atinge-r-111-trilhoes-em-agosto-de-2026/" TargetMode="External" Id="rId94" /><Relationship Type="http://schemas.openxmlformats.org/officeDocument/2006/relationships/hyperlink" Target="https://www.moneytimes.com.br/divida-bruta-do-brasil-sobe-a-829-do-pib-em-agosto/" TargetMode="External" Id="rId95" /><Relationship Type="http://schemas.openxmlformats.org/officeDocument/2006/relationships/hyperlink" Target="https://atlaspublico.com.br/bcb/noticias/copom-reduz-selic-para-13-75pct-ao-ano-em-decisao-unanime-87748" TargetMode="External" Id="rId96" /><Relationship Type="http://schemas.openxmlformats.org/officeDocument/2006/relationships/hyperlink" Target="https://olinda.bcb.gov.br/olinda/servico/Expectativas/versao/v1/odata/ExpectativasMercadoAnuais?$top=20&amp;$filter=Indicador%20eq%20'Selic'%20and%20Data%20eq%20'2022-10-28'&amp;$format=json" TargetMode="External" Id="rId97" /><Relationship Type="http://schemas.openxmlformats.org/officeDocument/2006/relationships/hyperlink" Target="https://www.bcb.gov.br/content/focus/focus/R20221028.pdf" TargetMode="External" Id="rId98" /><Relationship Type="http://schemas.openxmlformats.org/officeDocument/2006/relationships/hyperlink" Target="https://www.poder360.com.br/poder-economia/mercado-eleva-projecao-da-selic-para-135-em-2026/" TargetMode="External" Id="rId99" /><Relationship Type="http://schemas.openxmlformats.org/officeDocument/2006/relationships/hyperlink" Target="https://api.bcb.gov.br/dados/serie/bcdata.sgs.432/dados/ultimos/3?formato=json" TargetMode="External" Id="rId100" /><Relationship Type="http://schemas.openxmlformats.org/officeDocument/2006/relationships/hyperlink" Target="https://www.poder360.com.br/poder-economia/divida-bruta-atinge-829-do-pib-em-agosto-diz-banco-central/" TargetMode="External" Id="rId101" /><Relationship Type="http://schemas.openxmlformats.org/officeDocument/2006/relationships/hyperlink" Target="https://www.opovo.com.br/noticias/economia/2026/07/31/deficit-do-setor-publico-sobe-para-rs-553-bilhoes-em-junho.html" TargetMode="External" Id="rId102" /><Relationship Type="http://schemas.openxmlformats.org/officeDocument/2006/relationships/hyperlink" Target="https://borainvestir.b3.com.br/noticias/deficit-do-setor-publico-sobe-para-r-553-bilhoes-em-junho/" TargetMode="External" Id="rId103" /><Relationship Type="http://schemas.openxmlformats.org/officeDocument/2006/relationships/hyperlink" Target="https://ohoje.com/coluna/rombo-causado-pelos-juros-ja-supera-um-trilhao-de-reais/" TargetMode="External" Id="rId104" /><Relationship Type="http://schemas.openxmlformats.org/officeDocument/2006/relationships/hyperlink" Target="https://www.moneytimes.com.br/juros-futuros-6-10-26-apsa/" TargetMode="External" Id="rId105" /><Relationship Type="http://schemas.openxmlformats.org/officeDocument/2006/relationships/hyperlink" Target="https://www.moneytimes.com.br/juros-futuros-8-10-26-apsa/" TargetMode="External" Id="rId106" /><Relationship Type="http://schemas.openxmlformats.org/officeDocument/2006/relationships/hyperlink" Target="https://www.moneytimes.com.br/juros-futuros-9-10-26-apsa/" TargetMode="External" Id="rId107" /><Relationship Type="http://schemas.openxmlformats.org/officeDocument/2006/relationships/hyperlink" Target="https://www.dgabc.com.br/Noticia/4352530/taxas-de-juros-tem-firme-alta-na-sessao-com-menor-otimismo-sobre-vitoria-de-flavio" TargetMode="External" Id="rId108" /><Relationship Type="http://schemas.openxmlformats.org/officeDocument/2006/relationships/hyperlink" Target="https://www.dgabc.com.br/Noticia/4351949/taxas-de-juros-recuam-com-trade-eleitoral-apesar-de-ipca-acima-do-esperado" TargetMode="External" Id="rId109" /><Relationship Type="http://schemas.openxmlformats.org/officeDocument/2006/relationships/hyperlink" Target="https://www.canalrural.com.br/economia/juros-futuros-caem-mais-de-1-ponto-apos-resultado-do-1o-turno/" TargetMode="External" Id="rId110" /><Relationship Type="http://schemas.openxmlformats.org/officeDocument/2006/relationships/hyperlink" Target="https://www.moneytimes.com.br/juros-futuros-7-10-26-apsa/" TargetMode="External" Id="rId111" /><Relationship Type="http://schemas.openxmlformats.org/officeDocument/2006/relationships/hyperlink" Target="https://www.poder360.com.br/poder-governo/lula-aumentou-impostos-27-vezes-em-3-anos-no-planalto/" TargetMode="External" Id="rId112" /><Relationship Type="http://schemas.openxmlformats.org/officeDocument/2006/relationships/hyperlink" Target="https://exame.com/economia/com-mp-dos-impostos-governo-lula-adotou-ao-menos-37-medidas-para-elevar-arrecadacao-desde-2023/" TargetMode="External" Id="rId113" /><Relationship Type="http://schemas.openxmlformats.org/officeDocument/2006/relationships/hyperlink" Target="https://www.poder360.com.br/governo/lula-diz-que-constituicao-garante-direitos-e-cobra-sua-protecao/" TargetMode="External" Id="rId114" /><Relationship Type="http://schemas.openxmlformats.org/officeDocument/2006/relationships/hyperlink" Target="https://arpensp.org.br/noticia/7886" TargetMode="External" Id="rId115" /><Relationship Type="http://schemas.openxmlformats.org/officeDocument/2006/relationships/hyperlink" Target="https://jornaldebrasilia.com.br/noticias/saude/aumenta-espera-por-cirurgia-de-cancer-no-sus-aponta-tcu/" TargetMode="External" Id="rId116" /><Relationship Type="http://schemas.openxmlformats.org/officeDocument/2006/relationships/hyperlink" Target="https://www12.senado.leg.br/noticias/materias/2024/01/17/sancionada-lei-que-estabelece-reajuste-anual-da-tabela-do-sus" TargetMode="External" Id="rId117" /><Relationship Type="http://schemas.openxmlformats.org/officeDocument/2006/relationships/hyperlink" Target="https://www.campograndenews.com.br/politica/defasada-desde-2013-lula-sanciona-lei-que-garante-reajuste-anual-na-tabela-sus" TargetMode="External" Id="rId118" /><Relationship Type="http://schemas.openxmlformats.org/officeDocument/2006/relationships/hyperlink" Target="https://futurodasaude.com.br/?p=21331" TargetMode="External" Id="rId119" /><Relationship Type="http://schemas.openxmlformats.org/officeDocument/2006/relationships/hyperlink" Target="https://futurodasaude.com.br/?p=25281" TargetMode="External" Id="rId120" /><Relationship Type="http://schemas.openxmlformats.org/officeDocument/2006/relationships/hyperlink" Target="https://www.acessa.com/noticias/2026/03/317594-tabela-sus-paulista-reforca-caixa-dos-hospitais-e-eleva-atendimentos-mas-impacto-e-incerto.html" TargetMode="External" Id="rId121" /><Relationship Type="http://schemas.openxmlformats.org/officeDocument/2006/relationships/hyperlink" Target="https://www.agenciasp.sp.gov.br/sp-realiza-13-milhao-de-cirurgias-eletivas-em-2025-maior-numero-da-historia-do-sus-paulista/" TargetMode="External" Id="rId122" /><Relationship Type="http://schemas.openxmlformats.org/officeDocument/2006/relationships/hyperlink" Target="https://www.dgabc.com.br/Noticia/4340242/tarcisio-defende-que-ampliou-quantidade-de-leitos-hospitalares-e-cirurgias-em-sp" TargetMode="External" Id="rId123" /><Relationship Type="http://schemas.openxmlformats.org/officeDocument/2006/relationships/hyperlink" Target="https://www.correiodamanha.com.br/nacional/sao-paulo/campinas/2026/06/298074-sus-de-campinas-baixa-e-tarcisio-prove-band-aid-para-estancar-hemorragia.html" TargetMode="External" Id="rId124" /><Relationship Type="http://schemas.openxmlformats.org/officeDocument/2006/relationships/hyperlink" Target="https://www.folhape.com.br/economia/lula-pede-acao-do-consumidor-contra-a-inflacao-se-o-produto-esta/390033/" TargetMode="External" Id="rId125" /><Relationship Type="http://schemas.openxmlformats.org/officeDocument/2006/relationships/hyperlink" Target="https://www.correiobraziliense.com.br/politica/2025/02/7054723-lula-sugere-boicote-a-alimentos-caros-e-e-atacado-pela-oposicao.html" TargetMode="External" Id="rId126" /><Relationship Type="http://schemas.openxmlformats.org/officeDocument/2006/relationships/hyperlink" Target="https://www.infomoney.com.br/?p=2754557" TargetMode="External" Id="rId127" /><Relationship Type="http://schemas.openxmlformats.org/officeDocument/2006/relationships/hyperlink" Target="https://www.bemparana.com.br/noticias/economia/alta-da-picanha-no-governo-lula-e-menor-que-no-mandato-bolsonaro/" TargetMode="External" Id="rId128" /><Relationship Type="http://schemas.openxmlformats.org/officeDocument/2006/relationships/hyperlink" Target="https://www.dgabc.com.br/Noticia/4210004/lula-diz-que-preco-da-carne-vai-baixar-e-que-populacao-vai-voltar-a-comer-picanha" TargetMode="External" Id="rId129" /><Relationship Type="http://schemas.openxmlformats.org/officeDocument/2006/relationships/hyperlink" Target="https://www.diariodepernambuco.com.br/politica/2025/06/7793146-parana-pesquisas-50-dizem-que-picanha-ficou-mais-cara-no-governo-lula.html" TargetMode="External" Id="rId130" /><Relationship Type="http://schemas.openxmlformats.org/officeDocument/2006/relationships/hyperlink" Target="https://www.infomoney.com.br/?p=3397586" TargetMode="External" Id="rId131" /><Relationship Type="http://schemas.openxmlformats.org/officeDocument/2006/relationships/hyperlink" Target="https://forbes.com.br/forbes-money/forbes-real-estate/2026/07/caixa-credito-imobiliario-trilhao/" TargetMode="External" Id="rId132" /><Relationship Type="http://schemas.openxmlformats.org/officeDocument/2006/relationships/hyperlink" Target="https://www.seudinheiro.com/2021/empresas/caixa-bate-recorde-historico-com-credito-imobiliario-no-primeiro-semestre-do-ano" TargetMode="External" Id="rId133" /><Relationship Type="http://schemas.openxmlformats.org/officeDocument/2006/relationships/hyperlink" Target="https://agenciagov.ebc.com.br/noticias/202309/caixa-registra-r-700-bi-em-carteira-de-credito-imobiliario" TargetMode="External" Id="rId134" /><Relationship Type="http://schemas.openxmlformats.org/officeDocument/2006/relationships/hyperlink" Target="https://bpmoney.com.br/negocios/caixa-registra-marca-de-r-700-bi-em-carteira-de-credito-imobiliario" TargetMode="External" Id="rId135" /><Relationship Type="http://schemas.openxmlformats.org/officeDocument/2006/relationships/hyperlink" Target="https://www.prnewswire.com/br/comunicados-para-a-imprensa/caixa-lucro-liquido-recorrente-de-r-15-5-bilhoes-em-2025--crescimento-de-10-4-em-relacao-a-2024--302704800.html" TargetMode="External" Id="rId136" /><Relationship Type="http://schemas.openxmlformats.org/officeDocument/2006/relationships/hyperlink" Target="https://portaldeprefeitura.com.br/bastidores-da-politica/governo-lula-recursos-escola-integral-pagar-pe-de-meia/598700/" TargetMode="External" Id="rId137" /><Relationship Type="http://schemas.openxmlformats.org/officeDocument/2006/relationships/hyperlink" Target="https://www.planalto.gov.br/ccivil_03/_Ato2023-2026/2023/Lei/L14790.htm" TargetMode="External" Id="rId138" /><Relationship Type="http://schemas.openxmlformats.org/officeDocument/2006/relationships/hyperlink" Target="https://atarde.com.br/economia/proibicao-das-bets-governo-diz-que-derrubou-10-mil-sites-ilegais-1404304" TargetMode="External" Id="rId139" /><Relationship Type="http://schemas.openxmlformats.org/officeDocument/2006/relationships/hyperlink" Target="https://forbes.com.br/forbes-money/2026/09/governo-prepara-mp-para-proibir-bets-dizem-fontes/" TargetMode="External" Id="rId140" /><Relationship Type="http://schemas.openxmlformats.org/officeDocument/2006/relationships/hyperlink" Target="https://sbtnews.sbt.com.br/noticia/politica/guimaraes-confirma-que-lula-prepara-mp-para-endurecer-bets" TargetMode="External" Id="rId141" /><Relationship Type="http://schemas.openxmlformats.org/officeDocument/2006/relationships/hyperlink" Target="https://www.poder360.com.br/economia/bolsonaro-oficializa-reajuste-de-33-para-professores/" TargetMode="External" Id="rId142" /><Relationship Type="http://schemas.openxmlformats.org/officeDocument/2006/relationships/hyperlink" Target="https://www.opovo.com.br/noticias/economia/2022/06/22/refinanciamento-do-fies-com-ate-99-de-desconto-vira-lei-entenda-quem-tem-direito.html" TargetMode="External" Id="rId143" /><Relationship Type="http://schemas.openxmlformats.org/officeDocument/2006/relationships/hyperlink" Target="https://www.congressoemfoco.com.br/noticia/11823/senado-vota-renegociacao-de-dividas-do-fies" TargetMode="External" Id="rId144" /><Relationship Type="http://schemas.openxmlformats.org/officeDocument/2006/relationships/hyperlink" Target="https://www.poder360.com.br/governo/bolsonaro-anuncia-reajuste-de-33-para-piso-de-professores/" TargetMode="External" Id="rId145" /><Relationship Type="http://schemas.openxmlformats.org/officeDocument/2006/relationships/hyperlink" Target="https://jornaldebrasilia.com.br/noticias/brasil/brasil-tem-826-mil-criancas-na-fila-de-espera-por-vaga-em-creche-mostra-levantamento/" TargetMode="External" Id="rId146" /><Relationship Type="http://schemas.openxmlformats.org/officeDocument/2006/relationships/hyperlink" Target="https://jornaldebrasilia.com.br/noticias/brasil/mais-de-2-milhoes-de-criancas-no-pais-estao-sem-vagas-em-creches/" TargetMode="External" Id="rId147" /><Relationship Type="http://schemas.openxmlformats.org/officeDocument/2006/relationships/hyperlink" Target="https://www.jornaldocomercio.com/geral/2024/08/1168929-brasil-tem-632-mil-criancas-na-fila-por-creche-mostra-levantamento.html" TargetMode="External" Id="rId148" /><Relationship Type="http://schemas.openxmlformats.org/officeDocument/2006/relationships/hyperlink" Target="https://www.correiodamanha.com.br/nacional/2026/09/317589-pisa-brasil-reduz-diferenca-para-paises-ricos-em-notas-escolares.html" TargetMode="External" Id="rId149" /><Relationship Type="http://schemas.openxmlformats.org/officeDocument/2006/relationships/hyperlink" Target="https://static.poder360.com.br/uploads/2026/09/Resultados_Pisa_2025_Final.pdf" TargetMode="External" Id="rId150" /><Relationship Type="http://schemas.openxmlformats.org/officeDocument/2006/relationships/hyperlink" Target="https://agenciagov.ebc.com.br/noticias/202312/divulgados-os-resultados-do-pisa-2022" TargetMode="External" Id="rId151" /><Relationship Type="http://schemas.openxmlformats.org/officeDocument/2006/relationships/hyperlink" Target="https://www.oecd.org/pt/publications/resultdos-do-pisa-2025-volume-i_afb355f4-pt/brasil_c7e013c5-pt" TargetMode="External" Id="rId152" /><Relationship Type="http://schemas.openxmlformats.org/officeDocument/2006/relationships/hyperlink" Target="https://www.congressoemfoco.com.br/area/congresso-nacional/em-derrota-para-lula-congresso-derruba-veto-em-lei-do-fim-das-saidinhas/" TargetMode="External" Id="rId153" /><Relationship Type="http://schemas.openxmlformats.org/officeDocument/2006/relationships/hyperlink" Target="https://www.poder360.com.br/poder-eleicoes/oposicao-reage-a-fala-de-lula-sobre-decisao-dos-eua-contra-pcc-e-cv/" TargetMode="External" Id="rId154" /><Relationship Type="http://schemas.openxmlformats.org/officeDocument/2006/relationships/hyperlink" Target="https://sbtnews.sbt.com.br/noticia/politica/governo-diz-que-pcc-e-cv-praticam-terrorismo-ao-criticar-eua" TargetMode="External" Id="rId155" /><Relationship Type="http://schemas.openxmlformats.org/officeDocument/2006/relationships/hyperlink" Target="https://www.agazeta.com.br/brasil/congresso-derrota-lula-derruba-veto-e-volta-a-proibir-saidinha-de-presos-0524" TargetMode="External" Id="rId156" /><Relationship Type="http://schemas.openxmlformats.org/officeDocument/2006/relationships/hyperlink" Target="https://www.poder360.com.br/poder-congresso/oposicao-reage-a-fala-de-lula-sobre-decisao-dos-eua-contra-pcc-e-cv/" TargetMode="External" Id="rId157" /><Relationship Type="http://schemas.openxmlformats.org/officeDocument/2006/relationships/hyperlink" Target="https://www.infomoney.com.br/?p=3352915" TargetMode="External" Id="rId158" /><Relationship Type="http://schemas.openxmlformats.org/officeDocument/2006/relationships/hyperlink" Target="https://dadosabertos.camara.leg.br/api/v2/proposicoes/2579832" TargetMode="External" Id="rId159" /><Relationship Type="http://schemas.openxmlformats.org/officeDocument/2006/relationships/hyperlink" Target="https://dadosabertos.camara.leg.br/api/v2/proposicoes/2579832/tramitacoes" TargetMode="External" Id="rId160" /><Relationship Type="http://schemas.openxmlformats.org/officeDocument/2006/relationships/hyperlink" Target="https://www.camara.leg.br/proposicoesWeb/prop_mostrarintegra?codteor=3091571" TargetMode="External" Id="rId161" /><Relationship Type="http://schemas.openxmlformats.org/officeDocument/2006/relationships/hyperlink" Target="https://www.cnj.jus.br/presidente-do-cnj-recebe-premio-direitos-humanos-por-audiencia-de-custodia/" TargetMode="External" Id="rId162" /><Relationship Type="http://schemas.openxmlformats.org/officeDocument/2006/relationships/hyperlink" Target="https://www.cnj.jus.br/presidente-do-cnj-anuncia-nova-fase-das-audiencias-de-custodia/" TargetMode="External" Id="rId163" /><Relationship Type="http://schemas.openxmlformats.org/officeDocument/2006/relationships/hyperlink" Target="https://www.conjur.com.br/?p=464328" TargetMode="External" Id="rId164" /><Relationship Type="http://schemas.openxmlformats.org/officeDocument/2006/relationships/hyperlink" Target="https://www.poder360.com.br/justica/tse-suspende-propaganda-de-bolsonaro-que-associa-lula-a-ladroes/" TargetMode="External" Id="rId165" /><Relationship Type="http://schemas.openxmlformats.org/officeDocument/2006/relationships/hyperlink" Target="https://www.metropoles.com/brasil/richarlison-x-willer-tomaz-lula-pede-que-pf-investigue-disputa-por-ilha" TargetMode="External" Id="rId166" /><Relationship Type="http://schemas.openxmlformats.org/officeDocument/2006/relationships/hyperlink" Target="https://www.cnnbrasil.com.br/blogs/jussara-soares/politica/pf-incluira-caso-da-ilha-de-richarlison-em-inquerito-sobre-flavio-e-willer/" TargetMode="External" Id="rId167" /><Relationship Type="http://schemas.openxmlformats.org/officeDocument/2006/relationships/hyperlink" Target="https://www.cnnbrasil.com.br/eleicoes/richarlison-rebate-advogado-amigo-de-flavio-bolsonaro-em-disputa-por-ilha/" TargetMode="External" Id="rId168" /><Relationship Type="http://schemas.openxmlformats.org/officeDocument/2006/relationships/hyperlink" Target="https://www.opovo.com.br/noticias/politica/2022/11/26/richarlison-destaque-na-copa-trava-disputa-judicial-contra-amigo-de-flavio-bolsonaro-entenda.html" TargetMode="External" Id="rId169" /><Relationship Type="http://schemas.openxmlformats.org/officeDocument/2006/relationships/hyperlink" Target="https://www.itatiaia.com.br/esportes/famosos-do-esporte/richarlison-e-advogado-de-brasilia-brigam-na-justica-por-mansao-no-rj-entenda/" TargetMode="External" Id="rId170" /><Relationship Type="http://schemas.openxmlformats.org/officeDocument/2006/relationships/hyperlink" Target="https://www.correiodamanha.com.br/politica/2026/10/327944-richarlison-acusa-flavio-bolsonaro-de-tomar-ilha-em-angra-na-mao-grande-advogado-rebate-com-documentos-e-desafia-jogador.html" TargetMode="External" Id="rId171" /><Relationship Type="http://schemas.openxmlformats.org/officeDocument/2006/relationships/hyperlink" Target="https://www.diariodepernambuco.com.br/brasil/2026/10/11726909-richarlison-acusa-flavio-bolsonaro-de-tomar-ilha-em-angra-dos-reis-e-pede-investigacao-da-pf.html" TargetMode="External" Id="rId172" /><Relationship Type="http://schemas.openxmlformats.org/officeDocument/2006/relationships/hyperlink" Target="https://sbtnews.sbt.com.br/noticia/politica/flavio-pede-para-investigar-se-lula-beneficiou-master" TargetMode="External" Id="rId173" /><Relationship Type="http://schemas.openxmlformats.org/officeDocument/2006/relationships/hyperlink" Target="https://www.diariodepernambuco.com.br/politica/2026/09/11725095-lula-diz-nao-lembrar-se-ganhou-uisque-de-vorcaro-se-deu-ja-bebi.html" TargetMode="External" Id="rId174" /><Relationship Type="http://schemas.openxmlformats.org/officeDocument/2006/relationships/hyperlink" Target="https://www.correiodamanha.com.br/politica/2026/09/322533-lula-diz-nao-lembrar-de-uisque-ligado-a-vorcaro-se-deu-ja-bebi.html" TargetMode="External" Id="rId175" /><Relationship Type="http://schemas.openxmlformats.org/officeDocument/2006/relationships/hyperlink" Target="https://www.diariodepernambuco.com.br/politica/2026/09/11724726-defesa-de-flavio-pede-a-mendonca-abertura-de-inquerito-por-uisque-de-vorcaro-para-lula.html" TargetMode="External" Id="rId176" /><Relationship Type="http://schemas.openxmlformats.org/officeDocument/2006/relationships/hyperlink" Target="https://www.folhape.com.br/politica/pf-pede-mais-90-dias-para-investigar-dark-horse/518933/" TargetMode="External" Id="rId177" /><Relationship Type="http://schemas.openxmlformats.org/officeDocument/2006/relationships/hyperlink" Target="https://www.folhape.com.br/politica/pf-diz-que-flavio-foi-interlocutor-direto-de-vorcaro-no/511983/" TargetMode="External" Id="rId178" /><Relationship Type="http://schemas.openxmlformats.org/officeDocument/2006/relationships/hyperlink" Target="https://mais.opovo.com.br/jornal/dom/2026/09/13/pf-aponta-cobrancas-de-flavio-a-vorcaro-e-detalha-relacao-sobre-dark-horse.html" TargetMode="External" Id="rId179" /><Relationship Type="http://schemas.openxmlformats.org/officeDocument/2006/relationships/hyperlink" Target="https://www.jb.com.br/brasil/politica/2026/05/1059614-deputados-pedem-investigacao-sobre-relacao-entre-vorcaro-e-flavio.html" TargetMode="External" Id="rId180" /><Relationship Type="http://schemas.openxmlformats.org/officeDocument/2006/relationships/hyperlink" Target="https://www.correiodamanha.com.br/politica/2026/10/326097-pf-e-pgr-negam-audios-de-vorcaro-sobre-filme-de-lula.html" TargetMode="External" Id="rId181" /><Relationship Type="http://schemas.openxmlformats.org/officeDocument/2006/relationships/hyperlink" Target="https://sbtnews.sbt.com.br/noticia/politica/em-audio-vorcaro-diz-ter-financiado-filme-sobre-lula" TargetMode="External" Id="rId182" /><Relationship Type="http://schemas.openxmlformats.org/officeDocument/2006/relationships/hyperlink" Target="https://www.poder360.com.br/poder-eleicoes-2026/alckmin-diz-que-nao-ha-prova-sobre-vorcaro-e-filme-de-lula/" TargetMode="External" Id="rId183" /><Relationship Type="http://schemas.openxmlformats.org/officeDocument/2006/relationships/hyperlink" Target="https://mais.opovo.com.br/jornal/politica/2026/10/10/audio-de-vorcaro-fala-de-dinheiro-em-filme-de-lula-pf-e-pgr-negam-que-esteja-em-delacao.html" TargetMode="External" Id="rId184" /><Relationship Type="http://schemas.openxmlformats.org/officeDocument/2006/relationships/hyperlink" Target="https://timesbrasil.com.br/brasil/caso-master-vorcaro-buscou-apoio-de-interlocutores-de-alexandre-padilha-ministro-de-lula-para-captar-ate-r-10-bilhoes-de-fundos-de-pensao/" TargetMode="External" Id="rId185" /><Relationship Type="http://schemas.openxmlformats.org/officeDocument/2006/relationships/hyperlink" Target="https://www.congressoemfoco.com.br/noticia/123151/padilha-acusa-veja-de-tentar-confundir-a-sociedade-em-reportagem" TargetMode="External" Id="rId186" /><Relationship Type="http://schemas.openxmlformats.org/officeDocument/2006/relationships/hyperlink" Target="https://www.jornalopcao.com.br/ultimas-noticias/registros-do-planalto-confirmam-reunioes-de-daniel-vorcaro-com-lobista-ligado-a-grupo-de-padilha-878516/" TargetMode="External" Id="rId187" /><Relationship Type="http://schemas.openxmlformats.org/officeDocument/2006/relationships/hyperlink" Target="https://www.maisgoias.com.br/politica/petista-goiano-olavo-noleto-e-citado-em-articulacoes-do-banco-master-com-governo-lula-revela-veja/" TargetMode="External" Id="rId188" /><Relationship Type="http://schemas.openxmlformats.org/officeDocument/2006/relationships/hyperlink" Target="https://jornaldebrasilia.com.br/noticias/politica-e-poder/careca-do-inss-orientou-entrega-de-encomenda-em-imovel-alugado-por-lulinha/" TargetMode="External" Id="rId189" /><Relationship Type="http://schemas.openxmlformats.org/officeDocument/2006/relationships/hyperlink" Target="https://www.cnnbrasil.com.br/politica/veja-os-processos-envolvendo-o-ex-presidente-lula/" TargetMode="External" Id="rId190" /><Relationship Type="http://schemas.openxmlformats.org/officeDocument/2006/relationships/hyperlink" Target="https://congressoemfoco.com.br/justica/lula-fachin-lava-jato" TargetMode="External" Id="rId191" /><Relationship Type="http://schemas.openxmlformats.org/officeDocument/2006/relationships/hyperlink" Target="https://www.metropoles.com/brasil/justica/triplex-atibaia-e-instituto-lula-relembre-casos-de-lula-na-lava-jato" TargetMode="External" Id="rId192" /><Relationship Type="http://schemas.openxmlformats.org/officeDocument/2006/relationships/hyperlink" Target="https://www.opovo.com.br/noticias/politica/2025/01/06/lula-mantem-sigilo-de-100-anos-em-nivel-semelhante-ao-de-bolsonaro.html" TargetMode="External" Id="rId193" /><Relationship Type="http://schemas.openxmlformats.org/officeDocument/2006/relationships/hyperlink" Target="https://observador.pt/2023/06/03/lula-indica-cristiano-zanin-advogado-que-o-defendeu-na-lava-jato-para-cargo-no-supremo-tribunal-federal/" TargetMode="External" Id="rId194" /><Relationship Type="http://schemas.openxmlformats.org/officeDocument/2006/relationships/hyperlink" Target="https://www.otempo.com.br/politica/governo/lula-exonera-dino-do-ministerio-da-justica-e-o-nomeia-para-o-stf-1.3322550" TargetMode="External" Id="rId195" /><Relationship Type="http://schemas.openxmlformats.org/officeDocument/2006/relationships/hyperlink" Target="https://agenciabrasil.ebc.com.br/politica/noticia/2026-04/senado-rejeita-indicacao-de-messias-para-stf" TargetMode="External" Id="rId196" /><Relationship Type="http://schemas.openxmlformats.org/officeDocument/2006/relationships/hyperlink" Target="https://www12.senado.leg.br/noticias/materias/2026/04/29/indicacao-de-jorge-messias-ao-stf-e-rejeitada-pelo-senado" TargetMode="External" Id="rId197" /><Relationship Type="http://schemas.openxmlformats.org/officeDocument/2006/relationships/hyperlink" Target="https://veja.abril.com.br/politica/exclusivo-presidencia-gastou-mais-de-r-55-milhoes-com-cartao-corporativo-desde-a-posse/" TargetMode="External" Id="rId198" /><Relationship Type="http://schemas.openxmlformats.org/officeDocument/2006/relationships/hyperlink" Target="https://oglobo.globo.com/politica/noticia/2026/03/20/ex-assessora-de-flavio-bolsonaro-e-denunciada-por-suspeita-de-lavar-dinheiro-do-filho-lider-do-escritorio-do-crime.ghtml" TargetMode="External" Id="rId199" /><Relationship Type="http://schemas.openxmlformats.org/officeDocument/2006/relationships/hyperlink" Target="https://noticias.uol.com.br/politica/ultimas-noticias/2022/04/09/fantasma-e-r-776-mil-em-salario-a-relacao-da-ex-de-adriano-e-os-bolsonaro.htm" TargetMode="External" Id="rId200" /><Relationship Type="http://schemas.openxmlformats.org/officeDocument/2006/relationships/hyperlink" Target="https://www.estadao.com.br/politica/blog-do-fausto-macedo/quinta-turma-do-stj-anula-todas-as-decisoes-de-primeira-instancia-no-inquerito-das-rachadinhas-que-atinge-flavio-bolsonaro/" TargetMode="External" Id="rId201" /><Relationship Type="http://schemas.openxmlformats.org/officeDocument/2006/relationships/hyperlink" Target="https://www.conjur.com.br/2022-mai-16/tj-rj-arquiva-denuncia-flavio-bolsonaro-rachadinha" TargetMode="External" Id="rId202" /><Relationship Type="http://schemas.openxmlformats.org/officeDocument/2006/relationships/hyperlink" Target="https://valor.globo.com/politica/noticia/2019/04/16/flavio-bolsonaro-fica-contrariado-com-proposta-de-cpi-das-milicias.ghtml" TargetMode="External" Id="rId203" /><Relationship Type="http://schemas.openxmlformats.org/officeDocument/2006/relationships/hyperlink" Target="https://www.poder360.com.br/governo/novo-pac-chega-a-r-17-bi-com-verba-do-governo-e-setor-privado/" TargetMode="External" Id="rId204" /><Relationship Type="http://schemas.openxmlformats.org/officeDocument/2006/relationships/hyperlink" Target="https://www.gov.br/casacivil/pt-br/novopac" TargetMode="External" Id="rId205" /><Relationship Type="http://schemas.openxmlformats.org/officeDocument/2006/relationships/hyperlink" Target="https://www.gov.br/casacivil/pt-br/novopac/transparencia" TargetMode="External" Id="rId206" /><Relationship Type="http://schemas.openxmlformats.org/officeDocument/2006/relationships/hyperlink" Target="https://sbtnews.sbt.com.br/noticia/economia/256394-novo-pac-preve-r-17-trilhao-em-investimentos-ate-2026" TargetMode="External" Id="rId207" /><Relationship Type="http://schemas.openxmlformats.org/officeDocument/2006/relationships/hyperlink" Target="https://www.poder360.com.br/governo/novo-pac-chega-a-r-17-bi-com-verba-do-governo-e-setor-privado/" TargetMode="External" Id="rId208" /><Relationship Type="http://schemas.openxmlformats.org/officeDocument/2006/relationships/hyperlink" Target="https://www.correiobraziliense.com.br/politica/2023/05/5094268-governo-lula-vai-destinar-rs-4-bilhoes-para-obras-paradas-da-educacao.html" TargetMode="External" Id="rId209" /><Relationship Type="http://schemas.openxmlformats.org/officeDocument/2006/relationships/hyperlink" Target="https://brasil61.com/n/presidente-sanciona-pacto-nacional-pela-retomada-de-obras-inacabadas-pind234330" TargetMode="External" Id="rId210" /><Relationship Type="http://schemas.openxmlformats.org/officeDocument/2006/relationships/hyperlink" Target="https://jornaldaparaiba.com.br/_/168789" TargetMode="External" Id="rId211" /><Relationship Type="http://schemas.openxmlformats.org/officeDocument/2006/relationships/hyperlink" Target="https://www.cnnbrasil.com.br/infra/demora-em-emprestimos-federais-para-obras-em-sp-azeda-relacao-lula-tarcisio/" TargetMode="External" Id="rId212" /><Relationship Type="http://schemas.openxmlformats.org/officeDocument/2006/relationships/hyperlink" Target="https://www.poder360.com.br/poder-economia/obra-do-tunel-santos-guaruja-pode-comecar-em-2026-diz-alckmin/" TargetMode="External" Id="rId213" /><Relationship Type="http://schemas.openxmlformats.org/officeDocument/2006/relationships/hyperlink" Target="https://www.camara.leg.br/noticias/1274690-ministro-dos-portos-diz-que-obra-do-tunel-santos-guaruja-deve-comecar-em-janeiro-de-2027/" TargetMode="External" Id="rId214" /><Relationship Type="http://schemas.openxmlformats.org/officeDocument/2006/relationships/hyperlink" Target="https://agenciainfra.com/blog/?p=39597" TargetMode="External" Id="rId215" /><Relationship Type="http://schemas.openxmlformats.org/officeDocument/2006/relationships/hyperlink" Target="https://agenciainfra.com/blog/?p=38808" TargetMode="External" Id="rId216" /><Relationship Type="http://schemas.openxmlformats.org/officeDocument/2006/relationships/hyperlink" Target="https://bnamericas.com/en/news/brazil-disburses-us630mn-for-works-on-transnordestina-railroad" TargetMode="External" Id="rId217" /><Relationship Type="http://schemas.openxmlformats.org/officeDocument/2006/relationships/hyperlink" Target="https://agenciabrasil.ebc.com.br/justica/noticia/2025-09/procurador-pede-suspensao-do-leilao-do-tunel-santos-guaruja" TargetMode="External" Id="rId218" /><Relationship Type="http://schemas.openxmlformats.org/officeDocument/2006/relationships/hyperlink" Target="https://www.nsctotal.com.br/?p=7891864" TargetMode="External" Id="rId219" /><Relationship Type="http://schemas.openxmlformats.org/officeDocument/2006/relationships/hyperlink" Target="https://movimentoeconomico.com.br/?p=120103" TargetMode="External" Id="rId220" /><Relationship Type="http://schemas.openxmlformats.org/officeDocument/2006/relationships/hyperlink" Target="https://apublica.org/2014/02/transposicao-um-projeto-dos-tempos-imperio/" TargetMode="External" Id="rId221" /><Relationship Type="http://schemas.openxmlformats.org/officeDocument/2006/relationships/hyperlink" Target="https://mais.opovo.com.br/colunistas/erico-firmo/2020/06/26/nem-lula-nem-bolsonaro-verdadeiro-pai-transposicao-piaui-viveu-cariri.html" TargetMode="External" Id="rId222" /><Relationship Type="http://schemas.openxmlformats.org/officeDocument/2006/relationships/hyperlink" Target="https://monitormercantil.com.br/sem-aumento-real-minimo-hoje-seria-de-r-573/" TargetMode="External" Id="rId223" /><Relationship Type="http://schemas.openxmlformats.org/officeDocument/2006/relationships/hyperlink" Target="https://www.dieese.org.br/notatecnica/2025/notaTec289salarioMinimo.pdf" TargetMode="External" Id="rId224" /><Relationship Type="http://schemas.openxmlformats.org/officeDocument/2006/relationships/hyperlink" Target="https://mais.opovo.com.br/jornal/economia/2026/10/14/fim-da-escala-6x1-sem-reducao-de-salario-e-aprovado-no-senado.html" TargetMode="External" Id="rId225" /><Relationship Type="http://schemas.openxmlformats.org/officeDocument/2006/relationships/hyperlink" Target="https://www.poder360.com.br/poder-economia/balanca-comercial-atinge-superavit-de-us-683-bi-em-2025/" TargetMode="External" Id="rId226" /><Relationship Type="http://schemas.openxmlformats.org/officeDocument/2006/relationships/hyperlink" Target="https://www.oliberal.com/economia/de-paula-governo-lula-abriu-700-novos-mercados-contra-241-mercados-do-governo-anterior-1.1182184" TargetMode="External" Id="rId227" /><Relationship Type="http://schemas.openxmlformats.org/officeDocument/2006/relationships/hyperlink" Target="https://sbtnews.sbt.com.br/noticia/economia/balanca-comercial-tem-superavit-de-us-68-3-bilhoes-em-2025-o-terceiro-maior-da-serie" TargetMode="External" Id="rId228" /><Relationship Type="http://schemas.openxmlformats.org/officeDocument/2006/relationships/hyperlink" Target="https://www.opovo.com.br/noticias/politica/2025/12/15/lula-destaca-abertura-de-500-mercados-internacionais-para-agropecuaria.html" TargetMode="External" Id="rId229" /><Relationship Type="http://schemas.openxmlformats.org/officeDocument/2006/relationships/hyperlink" Target="https://www.correiobraziliense.com.br/brasil/2022/06/5013817-33-milhoes-de-pessoas-passam-fome-no-brasil-aponta-pesquisa.html" TargetMode="External" Id="rId230" /><Relationship Type="http://schemas.openxmlformats.org/officeDocument/2006/relationships/hyperlink" Target="https://www.diariodepernambuco.com.br/noticia/brasil/2022/06/33-milhoes-de-pessoas-passam-fome-no-brasil-aponta-pesquisa.html" TargetMode="External" Id="rId231" /><Relationship Type="http://schemas.openxmlformats.org/officeDocument/2006/relationships/hyperlink" Target="https://www.lacapital.com.ar/segun-el-indec-la-pobreza-cayo-al-282-el-segundo-semestre-del-2025-n10263667.html" TargetMode="External" Id="rId232" /><Relationship Type="http://schemas.openxmlformats.org/officeDocument/2006/relationships/hyperlink" Target="https://www.forbesargentina.com/money/indec-revelo-pobreza-282-segunda-mitad-2025-quedo-debajo-30-n88562/amp" TargetMode="External" Id="rId233" /><Relationship Type="http://schemas.openxmlformats.org/officeDocument/2006/relationships/hyperlink" Target="https://www.c5n.com/economia/pobreza-indigencia-indec-segundo-semestre-31-marzo-2026" TargetMode="External" Id="rId234" /><Relationship Type="http://schemas.openxmlformats.org/officeDocument/2006/relationships/hyperlink" Target="https://www.bloomberglinea.com/latinoamerica/argentina/pobreza-bajo-en-argentina-durante-el-primer-semestre-del-2025-segun-el-indec/" TargetMode="External" Id="rId235" /><Relationship Type="http://schemas.openxmlformats.org/officeDocument/2006/relationships/hyperlink" Target="https://www.eldiario.ec/mundo/carne-de-burro-en-argentina-una-alternativa-economica-que-cuesta-el-50-que-la-vacuna-20042026/" TargetMode="External" Id="rId236" /><Relationship Type="http://schemas.openxmlformats.org/officeDocument/2006/relationships/hyperlink" Target="https://diariodocomercio.com.br/economia/ibge-aposentadorias-pensoes-2025/" TargetMode="External" Id="rId237" /><Relationship Type="http://schemas.openxmlformats.org/officeDocument/2006/relationships/hyperlink" Target="https://www.portaltela.com/noticias/economia/2026/05/08/aposentadorias-e-pensoes-chegam-a-138-da-populacao-no-brasil-que-envelhece/" TargetMode="External" Id="rId238" /><Relationship Type="http://schemas.openxmlformats.org/officeDocument/2006/relationships/hyperlink" Target="https://downloads.fipe.org.br/publicacoes/bif/bif505-8-15.pdf" TargetMode="External" Id="rId239" /><Relationship Type="http://schemas.openxmlformats.org/officeDocument/2006/relationships/hyperlink" Target="https://www.correiobraziliense.com.br/politica/2021/01/4900426-esta-complicada-a-situacao-la-resume-bolsonaro-sobre-manaus.html" TargetMode="External" Id="rId240" /><Relationship Type="http://schemas.openxmlformats.org/officeDocument/2006/relationships/hyperlink" Target="https://www.poder360.com.br/brasil/politicos-e-artistas-cobram-governo-por-falta-de-oxigenio-em-manaus/" TargetMode="External" Id="rId241" /><Relationship Type="http://schemas.openxmlformats.org/officeDocument/2006/relationships/hyperlink" Target="https://sbtnews.sbt.com.br/noticia/brasil/229263-stf-ordena-governo-federal-a-reativar-fundo-amazonia" TargetMode="External" Id="rId242" /><Relationship Type="http://schemas.openxmlformats.org/officeDocument/2006/relationships/hyperlink" Target="https://www.cnnbrasil.com.br/nacional/mourao-reativa-fundo-amazonia-e-retira-salles-do-comando/" TargetMode="External" Id="rId243" /><Relationship Type="http://schemas.openxmlformats.org/officeDocument/2006/relationships/hyperlink" Target="https://congressoemfoco.com.br/noticia/8958/tecnicos-do-tcu-recomendam-multa-de-ate-r-79-mil-para-salles-por-desmonte-do-fundo-amazonia" TargetMode="External" Id="rId244" /><Relationship Type="http://schemas.openxmlformats.org/officeDocument/2006/relationships/hyperlink" Target="https://www.gov.br/mdr/pt-br/assuntos/seguranca-hidrica/projeto-sao-francisco" TargetMode="External" Id="rId245" /><Relationship Type="http://schemas.openxmlformats.org/officeDocument/2006/relationships/hyperlink" Target="https://agenciabrasil.ebc.com.br/economia/noticia/2026-08/rn-vai-abrigar-supercomputador-brasileiro-de-inteligencia-artificial" TargetMode="External" Id="rId246" /><Relationship Type="http://schemas.openxmlformats.org/officeDocument/2006/relationships/hyperlink" Target="https://movimentoeconomico.com.br/tecnologia/2026/07/20/contagem-regressiva-computadores-quanticos-ficam-prontos-ate-outubro-na-paraiba/" TargetMode="External" Id="rId247" /><Relationship Type="http://schemas.openxmlformats.org/officeDocument/2006/relationships/hyperlink" Target="https://movimentoeconomico.com.br/tecnologia/2026/06/26/paraiba-quantica-parceria-com-china-inicia-nova-era-computacional-no-brasil/" TargetMode="External" Id="rId248" /><Relationship Type="http://schemas.openxmlformats.org/officeDocument/2006/relationships/hyperlink" Target="https://agenciabrasil.ebc.com.br/geral/noticia/2023-10/ita-deve-impulsionar-desenvolvimento-tecnologico-no-nordeste" TargetMode="External" Id="rId249" /><Relationship Type="http://schemas.openxmlformats.org/officeDocument/2006/relationships/hyperlink" Target="https://monitormercantil.com.br/lula-inaugura-fabrica-da-byd-em-camacari-ba/" TargetMode="External" Id="rId250" /><Relationship Type="http://schemas.openxmlformats.org/officeDocument/2006/relationships/hyperlink" Target="https://www.diariodepernambuco.com.br/noticia/politica/2023/06/lula-visita-polo-automotivo-de-goiana-e-inaugura-linha-de-producao.html" TargetMode="External" Id="rId251" /><Relationship Type="http://schemas.openxmlformats.org/officeDocument/2006/relationships/hyperlink" Target="https://agenciabrasil.ebc.com.br/tags/supercomputador" TargetMode="External" Id="rId252" /><Relationship Type="http://schemas.openxmlformats.org/officeDocument/2006/relationships/hyperlink" Target="https://agenciabrasil.ebc.com.br/tags/computacao-quantica" TargetMode="External" Id="rId253" /><Relationship Type="http://schemas.openxmlformats.org/officeDocument/2006/relationships/hyperlink" Target="https://agenciabrasil.ebc.com.br/tags/paraiba" TargetMode="External" Id="rId254" /><Relationship Type="http://schemas.openxmlformats.org/officeDocument/2006/relationships/hyperlink" Target="https://www.folhape.com.br/noticias/novo-pac-educacao/341415/" TargetMode="External" Id="rId255" /><Relationship Type="http://schemas.openxmlformats.org/officeDocument/2006/relationships/hyperlink" Target="https://www.correiodamanha.com.br/nacional/nordeste/2024/03/120617-nordeste-tera-maior-parte-dos-institutos-federais.html" TargetMode="External" Id="rId256" /><Relationship Type="http://schemas.openxmlformats.org/officeDocument/2006/relationships/hyperlink" Target="https://sbtnews.sbt.com.br/noticia/politica/governo-lula-anuncia-criacao-de-100-novos-institutos-federais" TargetMode="External" Id="rId257" /><Relationship Type="http://schemas.openxmlformats.org/officeDocument/2006/relationships/hyperlink" Target="https://acritica.net/politica/debate-lula-flavio-licenca-maternidade-2009-alerj/" TargetMode="External" Id="rId258" /><Relationship Type="http://schemas.openxmlformats.org/officeDocument/2006/relationships/hyperlink" Target="https://www.dgabc.com.br/Noticia/4353680/flavio-apaga-posts-em-que-criticava-bolsa-familia-e-chamava-beneficio-de-bolsa-farelo" TargetMode="External" Id="rId259" /><Relationship Type="http://schemas.openxmlformats.org/officeDocument/2006/relationships/hyperlink" Target="https://www.jb.com.br/brasil/politica/2026/10/1061287-flavio-bolsonaro-apaga-das-redes-sociais-postagens-nas-quais-chamava-o-bolsa-familia-de-bolsa-farelo.html" TargetMode="External" Id="rId260" /><Relationship Type="http://schemas.openxmlformats.org/officeDocument/2006/relationships/hyperlink" Target="https://www.diariodepernambuco.com.br/politica/2026/06/11717089-de-bolsa-farelo-a-direito-flavio-bolsonaro-passou-de-critico-a-defensor-do-bolsa-familia.html" TargetMode="External" Id="rId261" /><Relationship Type="http://schemas.openxmlformats.org/officeDocument/2006/relationships/hyperlink" Target="https://agenciabrasil.ebc.com.br/educacao/noticia/2020-09/ufrj-maior-universidade-do-brasil-completa-100-anos" TargetMode="External" Id="rId262" /><Relationship Type="http://schemas.openxmlformats.org/officeDocument/2006/relationships/hyperlink" Target="https://www.tupi.fm/?p=429759" TargetMode="External" Id="rId263" /><Relationship Type="http://schemas.openxmlformats.org/officeDocument/2006/relationships/hyperlink" Target="https://www.dgabc.com.br/Noticia/4354024/sancionada-lei-que-perdoa-divida-e-aumenta-limite-de-mei" TargetMode="External" Id="rId264" /><Relationship Type="http://schemas.openxmlformats.org/officeDocument/2006/relationships/hyperlink" Target="https://www.oliberal.com/economia/perd-o-de-dividas-pode-beneficiar-93-mil-meis-no-para-diz-governo-federal-1.1182244" TargetMode="External" Id="rId265" /><Relationship Type="http://schemas.openxmlformats.org/officeDocument/2006/relationships/hyperlink" Target="https://movimentoeconomico.com.br/trabalho/2026/10/21/governo-federal-sanciona-perdao-de-dividas-e-teto-de-ate-r-140-mil-para-meis/" TargetMode="External" Id="rId266" /><Relationship Type="http://schemas.openxmlformats.org/officeDocument/2006/relationships/hyperlink" Target="https://agenciasebrae.com.br/economia-e-politica/perdao-de-dividas-do-mei-veja-como-funcionara-a-medida-e-se-voce-podera-ser-contemplado/" TargetMode="External" Id="rId267" /><Relationship Type="http://schemas.openxmlformats.org/officeDocument/2006/relationships/hyperlink" Target="https://www.bcb.gov.br/controleinflacao/historicotaxasjuros" TargetMode="External" Id="rId268" /><Relationship Type="http://schemas.openxmlformats.org/officeDocument/2006/relationships/hyperlink" Target="https://www.bcb.gov.br" TargetMode="External" Id="rId269" /><Relationship Type="http://schemas.openxmlformats.org/officeDocument/2006/relationships/hyperlink" Target="https://www.congressoemfoco.com.br/noticia/106767/pib-brasileiro-cresceu-3-4-em-2024-diz-ibge" TargetMode="External" Id="rId270" /><Relationship Type="http://schemas.openxmlformats.org/officeDocument/2006/relationships/hyperlink" Target="https://sbtnews.sbt.com.br/noticia/economia/pib-cresce-3-4-em-2024-e-fecha-o-ano-em-r-11-7-trilhoes-diz-ibge" TargetMode="External" Id="rId271" /><Relationship Type="http://schemas.openxmlformats.org/officeDocument/2006/relationships/hyperlink" Target="https://www.metropoles.com/negocios/ibge-revisa-resultado-do-pib-em-2021-e-diz-que-o-pais-cresceu-48" TargetMode="External" Id="rId272" /><Relationship Type="http://schemas.openxmlformats.org/officeDocument/2006/relationships/hyperlink" Target="https://agenciabrasil.ebc.com.br/economia/noticia/2015-03/economia-brasileira-cresceu-uma-taxa-media-anual-de-37-entre-2000-e-2011" TargetMode="External" Id="rId273" /><Relationship Type="http://schemas.openxmlformats.org/officeDocument/2006/relationships/hyperlink" Target="https://agenciagov.ebc.com.br/noticias/202311/pib-cresce-4-8-e-totaliza-r-9-trilhoes-em-2021" TargetMode="External" Id="rId274" /><Relationship Type="http://schemas.openxmlformats.org/officeDocument/2006/relationships/hyperlink" Target="https://exame.com/economia/revisao-de-dados-pelo-ibge-aumenta-pib-em-2-1/" TargetMode="External" Id="rId275" /><Relationship Type="http://schemas.openxmlformats.org/officeDocument/2006/relationships/hyperlink" Target="https://www.poder360.com.br/poder-eleicoes-2026/flavio-diz-que-o-sus-salvou-seu-pai-e-nega-cortes-na-saude/" TargetMode="External" Id="rId276" /><Relationship Type="http://schemas.openxmlformats.org/officeDocument/2006/relationships/hyperlink" Target="https://www.oliberal.com/politica/lula-diz-que-flavio-bolsonaro-fara-tesouraco-no-sus-senador-promete-investimentos-1.1186219" TargetMode="External" Id="rId277" /><Relationship Type="http://schemas.openxmlformats.org/officeDocument/2006/relationships/hyperlink" Target="https://agenciabrasil.ebc.com.br/politica/noticia/2026-09/flavio-bolsonaro-propoe-enxugar-estado-e-endurecer-acoes-de-seguranca" TargetMode="External" Id="rId278" /><Relationship Type="http://schemas.openxmlformats.org/officeDocument/2006/relationships/hyperlink" Target="https://covid.saude.gov.br (Painel Coronav&#237;rus - Minist&#233;rio da Sa&#250;de)" TargetMode="External" Id="rId279" /><Relationship Type="http://schemas.openxmlformats.org/officeDocument/2006/relationships/hyperlink" Target="https://www.band.com.br/politica/eleicoes/lula-rebate-flavio-bolsonaro-sobre-saude-e-questiona-quer-privatizar-o-sus" TargetMode="External" Id="rId280" /><Relationship Type="http://schemas.openxmlformats.org/officeDocument/2006/relationships/hyperlink" Target="https://agenciabrasil.ebc.com.br/economia/noticia/2026-09/governo-cria-terceira-fase-do-desenrola-com-compra-de-dividas-pela-uni" TargetMode="External" Id="rId281" /><Relationship Type="http://schemas.openxmlformats.org/officeDocument/2006/relationships/hyperlink" Target="https://agenciabrasil.ebc.com.br/economia/noticia/2026-10/ministro-preve-renegociacao-de-r-90-bi-em-3a-fase-do-desenrola" TargetMode="External" Id="rId282" /><Relationship Type="http://schemas.openxmlformats.org/officeDocument/2006/relationships/hyperlink" Target="https://agenciabrasil.ebc.com.br/economia/noticia/2026-10/portaria-convoca-instituicoes-financeiras-para-3a-fase-do-desenrola" TargetMode="External" Id="rId283" /><Relationship Type="http://schemas.openxmlformats.org/officeDocument/2006/relationships/hyperlink" Target="https://www.gov.br/fazenda/pt-br/assuntos/noticias" TargetMode="External" Id="rId284" /><Relationship Type="http://schemas.openxmlformats.org/officeDocument/2006/relationships/hyperlink" Target="https://www.diariodepernambuco.com.br/politica/2026/09/11725131-associacoes-de-bets-pedem-ao-stf-a-suspensao-da-mp-que-proibe-apostas-on-line.html" TargetMode="External" Id="rId285" /><Relationship Type="http://schemas.openxmlformats.org/officeDocument/2006/relationships/hyperlink" Target="https://www.congressoemfoco.com.br/noticia/122611/setor-de-apostas-pede-ao-stf-que-suspenda-mp-de-lula-contra-bets" TargetMode="External" Id="rId286" /><Relationship Type="http://schemas.openxmlformats.org/officeDocument/2006/relationships/hyperlink" Target="https://www.metropoles.com/brasil/brasil-tem-quase-3-700-obras-paradas-na-area-da-educacao-diz-ministro" TargetMode="External" Id="rId287" /><Relationship Type="http://schemas.openxmlformats.org/officeDocument/2006/relationships/hyperlink" Target="https://www.correiobraziliense.com.br/politica/2023/05/amp/5094114-lula-anuncia-retomada-de-3-500-obras-escolares-paralisadas.html" TargetMode="External" Id="rId288" /><Relationship Type="http://schemas.openxmlformats.org/officeDocument/2006/relationships/hyperlink" Target="https://portaldeprefeitura.com.br/bastidores-da-politica/educacao-em-marcha-lenta-governo-lula-concluiu-apenas-12-das-obras/617211/" TargetMode="External" Id="rId289" /><Relationship Type="http://schemas.openxmlformats.org/officeDocument/2006/relationships/hyperlink" Target="https://www.metropoles.com/brasil/richarlison-x-willer-tomaz-lula-pede-que-pf-investigue-disputa-por-ilha" TargetMode="External" Id="rId290" /><Relationship Type="http://schemas.openxmlformats.org/officeDocument/2006/relationships/hyperlink" Target="https://www.cnnbrasil.com.br/eleicoes/richarlison-rebate-advogado-amigo-de-flavio-bolsonaro-em-disputa-por-ilha/" TargetMode="External" Id="rId291" /><Relationship Type="http://schemas.openxmlformats.org/officeDocument/2006/relationships/hyperlink" Target="https://www.cnnbrasil.com.br/blogs/jussara-soares/politica/pf-incluira-caso-da-ilha-de-richarlison-em-inquerito-sobre-flavio-e-willer/" TargetMode="External" Id="rId292" /><Relationship Type="http://schemas.openxmlformats.org/officeDocument/2006/relationships/hyperlink" Target="https://www.cnnbrasil.com.br/economia/daniel-vorcaro-dono-do-banco-master-e-preso-pela-policia-federal/" TargetMode="External" Id="rId293" /><Relationship Type="http://schemas.openxmlformats.org/officeDocument/2006/relationships/hyperlink" Target="https://www.cnnbrasil.com.br/politica/mendonca-manda-prender-vorcaro-em-nova-fase-da-operacao-da-pf-sobre-master/" TargetMode="External" Id="rId294" /><Relationship Type="http://schemas.openxmlformats.org/officeDocument/2006/relationships/hyperlink" Target="https://piauihoje.com/noticias/politica/flavio-participou-de-festa-com-garotas-de-programa-em-lancha-na-pandemia-diz-revista-468937.html" TargetMode="External" Id="rId295" /><Relationship Type="http://schemas.openxmlformats.org/officeDocument/2006/relationships/hyperlink" Target="https://www.diariodepernambuco.com.br/politica/2026/10/11727353-flavio-participou-de-churrasco-em-lancha-com-lobistas-e-garotas-de-programa.html" TargetMode="External" Id="rId296" /><Relationship Type="http://schemas.openxmlformats.org/officeDocument/2006/relationships/hyperlink" Target="https://poderparaiba.com.br/flavio-bolsonaro-festa-lancha-pandemia-precisa-medicamentos-piaui/" TargetMode="External" Id="rId297" /><Relationship Type="http://schemas.openxmlformats.org/officeDocument/2006/relationships/hyperlink" Target="https://www.bemparana.com.br/eleicoes-2026/flavio-bolsonaro-esteve-em-festa-em-lancha-com-prostitutas-e-lobistas-em-plena-pandemia-diz-revista/" TargetMode="External" Id="rId298" /><Relationship Type="http://schemas.openxmlformats.org/officeDocument/2006/relationships/hyperlink" Target="https://www.opiniaoce.com.br/politica/2026/10/22/flavio-bolsonaro-fez-festa-em-lancha-com-lobistas-e-garotas-de-programa-durante-pandemia-diz-revista/" TargetMode="External" Id="rId299" /><Relationship Type="http://schemas.openxmlformats.org/officeDocument/2006/relationships/hyperlink" Target="https://www.correiobraziliense.com.br/politica/2022/06/5012206-flavio-bolsonaro-justifica-compra-de-mansao-com-outras-fontes-de-renda.html" TargetMode="External" Id="rId300" /><Relationship Type="http://schemas.openxmlformats.org/officeDocument/2006/relationships/hyperlink" Target="https://www.terra.com.br/noticias/eleicoes/jair-bolsonaro-gastou-mais-no-cartao-corporativo-do-que-lula,4ffda9eadcc210176ff3273b5ac8f854m750onan.html" TargetMode="External" Id="rId301" /><Relationship Type="http://schemas.openxmlformats.org/officeDocument/2006/relationships/hyperlink" Target="https://portaldatransparencia.gov.br/cartoes" TargetMode="External" Id="rId302" /><Relationship Type="http://schemas.openxmlformats.org/officeDocument/2006/relationships/hyperlink" Target="https://www.diariodepernambuco.com.br/economia/2026/10/11725523-analise-sobre-trecho-pernambucano-da-ferrovia-transnordestina-e-adiada-pelo-tcu.html" TargetMode="External" Id="rId303" /><Relationship Type="http://schemas.openxmlformats.org/officeDocument/2006/relationships/hyperlink" Target="https://diariodonordeste.verdesmares.com.br/negocios/transnordestina-veja-cronograma-das-obras-e-o-que-muda-com-aditivo-do-contrato-da-ferrovia-no-ce-1.3318404" TargetMode="External" Id="rId304" /><Relationship Type="http://schemas.openxmlformats.org/officeDocument/2006/relationships/hyperlink" Target="https://www.diariodepernambuco.com.br/economia/2026/05/11714501-transnordestina-em-pernambuco-um-historico-de-decisoes-negativas.html" TargetMode="External" Id="rId305" /><Relationship Type="http://schemas.openxmlformats.org/officeDocument/2006/relationships/hyperlink" Target="https://www.diariodepernambuco.com.br/economia/2026/05/11714979-transnordestina-governo-e-empresarios-assinam-manifesto-pela-conclusao-do-trecho-salgueiro-suape.html" TargetMode="External" Id="rId306" /><Relationship Type="http://schemas.openxmlformats.org/officeDocument/2006/relationships/hyperlink" Target="https://www.parana.pr.gov.br/aen/Noticia/Perguntas-e-respostas-conheca-os-detalhes-do-edital-da-Nova-Ferroeste" TargetMode="External" Id="rId307" /><Relationship Type="http://schemas.openxmlformats.org/officeDocument/2006/relationships/hyperlink" Target="https://www.parana.pr.gov.br/aen/Noticia/Estado-divulga-o-edital-da-Nova-Ferroeste-ligacao-ferroviaria-que-vai-transformar-o" TargetMode="External" Id="rId308" /><Relationship Type="http://schemas.openxmlformats.org/officeDocument/2006/relationships/hyperlink" Target="https://www.campograndenews.com.br/economia/para-estudos-de-terra-indigena-em-ms-leilao-da-nova-ferroeste-ficara-para-2025" TargetMode="External" Id="rId309" /><Relationship Type="http://schemas.openxmlformats.org/officeDocument/2006/relationships/hyperlink" Target="https://www.semadesc.ms.gov.br/?p=120681" TargetMode="External" Id="rId310" /><Relationship Type="http://schemas.openxmlformats.org/officeDocument/2006/relationships/hyperlink" Target="https://agenciainfra.com/blog/mota-engil-aguarda-autorizacao-da-antt-para-assumir-fiol-1-diz-ministro/" TargetMode="External" Id="rId311" /><Relationship Type="http://schemas.openxmlformats.org/officeDocument/2006/relationships/hyperlink" Target="https://static.poder360.com.br/uploads/2026/10/001.733-2026-5-ASC-auditoria_Fiol_Lote-5F.pdf" TargetMode="External" Id="rId312" /><Relationship Type="http://schemas.openxmlformats.org/officeDocument/2006/relationships/hyperlink" Target="https://www.bnews.com.br/noticias/politica/governo-lanca-edital-de-meio-bilhao-para-concluir-obras-da-fiol-na-bahia.html" TargetMode="External" Id="rId313" /><Relationship Type="http://schemas.openxmlformats.org/officeDocument/2006/relationships/hyperlink" Target="https://www.gov.br/transportes/pt-br/assuntos/incentivos/incentivos-fiscais/reidi-requerimento-e-consulta/Portarian502de27abr2021ValecFIOLReidiDOU29abr2021.pdf" TargetMode="External" Id="rId314" /><Relationship Type="http://schemas.openxmlformats.org/officeDocument/2006/relationships/hyperlink" Target="https://www25.senado.leg.br/web/atividade/materias/-/materia/172564" TargetMode="External" Id="rId315" /><Relationship Type="http://schemas.openxmlformats.org/officeDocument/2006/relationships/hyperlink" Target="https://www12.senado.leg.br/ecidadania/visualizacaomateria?id=172564" TargetMode="External" Id="rId316" /><Relationship Type="http://schemas.openxmlformats.org/officeDocument/2006/relationships/hyperlink" Target="https://www.al.mt.gov.br/storage/webdisco/cp/20260615104430170100.pdf" TargetMode="External" Id="rId317" /><Relationship Type="http://schemas.openxmlformats.org/officeDocument/2006/relationships/hyperlink" Target="https://www.itatiaia.com.br/politica/governo-federal-lanca-escolas-conectadas-meta-e-ter-1388-mil-escolas-publicas-com-internet-de-qualidade-ate-2026/" TargetMode="External" Id="rId318" /><Relationship Type="http://schemas.openxmlformats.org/officeDocument/2006/relationships/hyperlink" Target="https://brasil61.com/n/internet-chega-a-quase-metade-das-escolas-publicas-do-acre-mcom260240" TargetMode="External" Id="rId319" /><Relationship Type="http://schemas.openxmlformats.org/officeDocument/2006/relationships/hyperlink" Target="https://brasil61.com/n/internet-chega-a-mais-da-metade-das-escolas-publicas-do-amazonas-mcom260243" TargetMode="External" Id="rId320" /><Relationship Type="http://schemas.openxmlformats.org/officeDocument/2006/relationships/hyperlink" Target="https://www.conexaoto.com.br/2026/04/11/tocantins-supera-70-das-escolas-publicas-conectadas-a-internet" TargetMode="External" Id="rId321" /><Relationship Type="http://schemas.openxmlformats.org/officeDocument/2006/relationships/hyperlink" Target="https://www.congressoemfoco.com.br/noticia/121825/projeto-de-orcamento-de-2027-preve-salario-minimo-de-r-1-741" TargetMode="External" Id="rId322" /><Relationship Type="http://schemas.openxmlformats.org/officeDocument/2006/relationships/hyperlink" Target="https://www.oliberal.com/politica/flavio-diz-que-nao-vai-desvincular-reajuste-do-minimo-e-nem-alterar-pisos-de-saude-e-educacao-1.1183567" TargetMode="External" Id="rId323" /><Relationship Type="http://schemas.openxmlformats.org/officeDocument/2006/relationships/hyperlink" Target="https://sbtnews.sbt.com.br/noticia/eleicoes/flavio-promete-reajuste-do-minimo-acima-da-inflacao" TargetMode="External" Id="rId324" /><Relationship Type="http://schemas.openxmlformats.org/officeDocument/2006/relationships/hyperlink" Target="https://sbtnews.sbt.com.br/noticia/politica/salario-minimo-de-2027-sera-de-r-1-741-diz-durigan" TargetMode="External" Id="rId325" /><Relationship Type="http://schemas.openxmlformats.org/officeDocument/2006/relationships/hyperlink" Target="https://www.correiodamanha.com.br/nacional/brasil/2026/08/311021-governo-projeta-salario-minimo-de-rs-1-741-para-2027.html" TargetMode="External" Id="rId326" /><Relationship Type="http://schemas.openxmlformats.org/officeDocument/2006/relationships/hyperlink" Target="https://www.congressoemfoco.com.br/noticia/123316/lula-propoe-usar-emendas-para-financiar-tarifa-zero-aos-fins-de-semana" TargetMode="External" Id="rId327" /><Relationship Type="http://schemas.openxmlformats.org/officeDocument/2006/relationships/hyperlink" Target="https://diariodotransporte.com.br/2026/10/16/tarifa-zero-aos-fins-de-semana-pode-custar-r-208-bilhoes-por-ano-calcula-ntu/" TargetMode="External" Id="rId328" /><Relationship Type="http://schemas.openxmlformats.org/officeDocument/2006/relationships/hyperlink" Target="https://www.dgabc.com.br/Noticia/4354042/tarifa-zero-governo-preve-r$-12-bi-mas-setor-estima-r$-20-8-bi" TargetMode="External" Id="rId329" /><Relationship Type="http://schemas.openxmlformats.org/officeDocument/2006/relationships/hyperlink" Target="https://timesbrasil.com.br/brasil/lula-diz-que-enviara-pec-da-tarifa-zero-ao-congresso-nesta-quarta-21-custo-pode-atingir-r-16-bilhoes-anuais/" TargetMode="External" Id="rId330" /><Relationship Type="http://schemas.openxmlformats.org/officeDocument/2006/relationships/hyperlink" Target="https://www.canalrural.com.br/politica/bloqueio-de-r-4617-milhoes-no-psr-e-atribuido-a-restricoes-fiscais/" TargetMode="External" Id="rId331" /><Relationship Type="http://schemas.openxmlformats.org/officeDocument/2006/relationships/hyperlink" Target="https://comprerural.com/governo-bloqueia-mais-r-56-milhoes-do-seguro-rural-as-vesperas-do-plano-safra-2026-27/" TargetMode="External" Id="rId332" /><Relationship Type="http://schemas.openxmlformats.org/officeDocument/2006/relationships/hyperlink" Target="https://www.jornalopcao.com.br/ultimas-noticias/plano-safra-2026-2027-anuncia-r-525-bilhoes-agro-de-goias-ve-reducao-do-credito-e-cobra-seguro-rural-842176/" TargetMode="External" Id="rId333" /><Relationship Type="http://schemas.openxmlformats.org/officeDocument/2006/relationships/hyperlink" Target="https://cnabrasil.org.br/noticias/sistema-faep-pede-r-670-bilhoes-no-plano-safra-2026-27" TargetMode="External" Id="rId334" /><Relationship Type="http://schemas.openxmlformats.org/officeDocument/2006/relationships/hyperlink" Target="https://correiodoestado.com.br/cidades/conflito-na-fronteira-ocupa-espaco-entre-as-propostas-dos-candidatos-a/475016/" TargetMode="External" Id="rId335" /><Relationship Type="http://schemas.openxmlformats.org/officeDocument/2006/relationships/hyperlink" Target="https://www.internazionale.it/ultime-notizie-reuters/2026/06/18/brazil-s-flavio-bolsonaro-pitches-crime-crackdown-to-boost-presidential-bid" TargetMode="External" Id="rId336" /><Relationship Type="http://schemas.openxmlformats.org/officeDocument/2006/relationships/hyperlink" Target="https://www.cnnbrasil.com.br/politica/grande-dia-diz-flavio-apos-eua-classificarem-pcc-e-cv-como-terroristas/" TargetMode="External" Id="rId337" /><Relationship Type="http://schemas.openxmlformats.org/officeDocument/2006/relationships/hyperlink" Target="https://estado.rs.gov.br/governo-do-estado-encaminha-a-uniao-pedido-de-adesao-ao-propag" TargetMode="External" Id="rId338" /><Relationship Type="http://schemas.openxmlformats.org/officeDocument/2006/relationships/hyperlink" Target="https://prefeitura.poa.br/gp/noticias/prefeito-reafirma-pedido-de-recursos-do-estado-para-obras-de-protecao-contra-cheias" TargetMode="External" Id="rId339" /><Relationship Type="http://schemas.openxmlformats.org/officeDocument/2006/relationships/hyperlink" Target="https://www.folhape.com.br/economia/ceron-esclarece-que-rs-esta-dispensado-de-aportes-a-fundo-do-propag/386185/" TargetMode="External" Id="rId340" /><Relationship Type="http://schemas.openxmlformats.org/officeDocument/2006/relationships/hyperlink" Target="https://sbtnews.sbt.com.br/noticia/brasil/sistema-anticheias-de-porto-alegre-tem-obras-paralisadas-um-ano-apos-a-tragedia" TargetMode="External" Id="rId341" /><Relationship Type="http://schemas.openxmlformats.org/officeDocument/2006/relationships/hyperlink" Target="https://www.poder360.com.br/poder-brasil/1-ano-apos-enchentes-porto-alegre-ainda-usa-sacos-de-areia-para-conter-agua/" TargetMode="External" Id="rId342" /><Relationship Type="http://schemas.openxmlformats.org/officeDocument/2006/relationships/hyperlink" Target="https://www.bandab.com.br/seguranca/policia-apreende-mais-de-1-tonelada-de-cocaina-em-paranagua/amp/" TargetMode="External" Id="rId343" /><Relationship Type="http://schemas.openxmlformats.org/officeDocument/2006/relationships/hyperlink" Target="https://www.planalto.gov.br/ccivil_03/leis/lcp/lcp97.htm" TargetMode="External" Id="rId344" /><Relationship Type="http://schemas.openxmlformats.org/officeDocument/2006/relationships/hyperlink" Target="https://agenciabrasil.ebc.com.br/geral/noticia/2023-07/pf-mira-quadrilha-que-enviava-cocaina-em-carga-madeira" TargetMode="External" Id="rId345" /><Relationship Type="http://schemas.openxmlformats.org/officeDocument/2006/relationships/hyperlink" Target="https://www.portosdoparana.pr.gov.br/Noticia/Acao-conjunta-intensifica-patrulha-maritima-na-regiao-dos-portos" TargetMode="External" Id="rId346" /><Relationship Type="http://schemas.openxmlformats.org/officeDocument/2006/relationships/hyperlink" Target="https://www.oliberal.com/belem/belem-esta-entre-os-20-piores-municipios-em-saneamento-no-pais-aponta-trata-brasil-1.1124810" TargetMode="External" Id="rId347" /><Relationship Type="http://schemas.openxmlformats.org/officeDocument/2006/relationships/hyperlink" Target="https://www.band.com.br/bandnews-fm/noticias/capital-da-cop-30-e-uma-das-ultimas-colocadas-no-ranking-de-saneamento-e-piora-situacao-em-2025-202507151206" TargetMode="External" Id="rId348" /><Relationship Type="http://schemas.openxmlformats.org/officeDocument/2006/relationships/hyperlink" Target="https://www.planalto.gov.br/ccivil_03/_ato2019-2022/2020/lei/l14026.htm" TargetMode="External" Id="rId349" /><Relationship Type="http://schemas.openxmlformats.org/officeDocument/2006/relationships/hyperlink" Target="https://www.infomoney.com.br/brasil/paradisiaca-santarem-no-para-e-a-cidade-brasileira-com-o-pior-saneamento-basico/" TargetMode="External" Id="rId350" /><Relationship Type="http://schemas.openxmlformats.org/officeDocument/2006/relationships/hyperlink" Target="https://brasil61.com/n/curitiba-vitoria-e-porto-alegre-registram-100-de-cobertura-de-abastecimento-de-agua-bras2514627" TargetMode="External" Id="rId351" /><Relationship Type="http://schemas.openxmlformats.org/officeDocument/2006/relationships/hyperlink" Target="https://www.agenciapara.com.br/noticia/77949/governo-do-para-e-uniao-assinam-licitacao-para-asfaltar-125-km-da-transamazonica" TargetMode="External" Id="rId352" /><Relationship Type="http://schemas.openxmlformats.org/officeDocument/2006/relationships/hyperlink" Target="https://www.gov.br/transportes/pt-br/assuntos/noticias/2026/06/ministro-dos-transportes-assina-aviso-de-edital-para-a-br-230-pa-e-a-transamazonica-avanca" TargetMode="External" Id="rId353" /><Relationship Type="http://schemas.openxmlformats.org/officeDocument/2006/relationships/hyperlink" Target="https://dol.com.br/noticias/para/noticia-125346-governo-asfalta-rodovia-no-entorno-de-belo-monte.html" TargetMode="External" Id="rId354" /><Relationship Type="http://schemas.openxmlformats.org/officeDocument/2006/relationships/hyperlink" Target="https://clickpetroleoegas.com.br/atoleiro-transamazonica-3-dias-caminhoes-carros-motos-trator-cbt-guincho-video-viral-btl96/" TargetMode="External" Id="rId355" /><Relationship Type="http://schemas.openxmlformats.org/officeDocument/2006/relationships/hyperlink" Target="https://www.gov.br/dnit/pt-br" TargetMode="External" Id="rId356" /><Relationship Type="http://schemas.openxmlformats.org/officeDocument/2006/relationships/hyperlink" Target="https://www12.senado.leg.br/noticias/materias/2026/09/01/incentivo-para-instalacao-de-data-centers-no-brasil-e-aprovado-pelo-senado" TargetMode="External" Id="rId357" /><Relationship Type="http://schemas.openxmlformats.org/officeDocument/2006/relationships/hyperlink" Target="https://startups.com.br/negocios/lula-sanciona-redata-e-cria-regime-fiscal-para-data-centers-no-brasil/" TargetMode="External" Id="rId358" /><Relationship Type="http://schemas.openxmlformats.org/officeDocument/2006/relationships/hyperlink" Target="https://www.culturaamazonica.com.br/2026/05/30/petrobras-investira-mais-de-r-28-bilhoes-no-amazonas-para-ampliar-producao-de-gas-natural-em-urucu-e-frota-de-embarcacoes/" TargetMode="External" Id="rId359" /><Relationship Type="http://schemas.openxmlformats.org/officeDocument/2006/relationships/hyperlink" Target="https://agencia.petrobras.com.br/w/petrobras-e-amaz%C3%B4nica-energy-firmam-primeiro-contrato-para-comercializa%C3%A7%C3%A3o-de-gnl-em-pequena-escala-a-partir-do-polo-urucu (n&#227;o reaberta nesta revis&#227;o)" TargetMode="External" Id="rId360" /><Relationship Type="http://schemas.openxmlformats.org/officeDocument/2006/relationships/hyperlink" Target="https://www.moneytimes.com.br/eneva-enev3-inicia-operacao-da-ute-azulao-i-no-amazonas-e-garante-receita-anual-de-r-278-milhoes-pads/ (n&#227;o reaberta nesta revis&#227;o)" TargetMode="External" Id="rId361" /><Relationship Type="http://schemas.openxmlformats.org/officeDocument/2006/relationships/hyperlink" Target="https://www.reformatributaria.com/governo/senado-aprova-isencao-de-r-52-bilhoes-em-tributos-para-data-centers-projeto-vai-a-sancao/" TargetMode="External" Id="rId362" /><Relationship Type="http://schemas.openxmlformats.org/officeDocument/2006/relationships/hyperlink" Target="https://agencia.petrobras.com.br/w/petrobras-e-amaz%C3%B4nica-energy-firmam-primeiro-contrato-para-comercializa%C3%A7%C3%A3o-de-gnl-em-pequena-escala-a-partir-do-polo-urucu" TargetMode="External" Id="rId363" /><Relationship Type="http://schemas.openxmlformats.org/officeDocument/2006/relationships/hyperlink" Target="https://www.moneytimes.com.br/eneva-enev3-inicia-operacao-da-ute-azulao-i-no-amazonas-e-garante-receita-anual-de-r-278-milhoes-pads/" TargetMode="External" Id="rId364" /><Relationship Type="http://schemas.openxmlformats.org/officeDocument/2006/relationships/hyperlink" Target="https://eixos.com.br/gas-natural/mercado-de-gas/aquisicao-na-bahia-e-fertilizantes-na-floresta-entram-no-radar-da-eneva/ (2022, contexto hist&#243;rico)" TargetMode="External" Id="rId365" /><Relationship Type="http://schemas.openxmlformats.org/officeDocument/2006/relationships/hyperlink" Target="https://www.folhape.com.br/economia/governo-altera-regra-de-transicao-do-bolsa-familia-entenda/411481/" TargetMode="External" Id="rId366" /><Relationship Type="http://schemas.openxmlformats.org/officeDocument/2006/relationships/hyperlink" Target="https://www.gov.br/mds/pt-br/acoes-e-programas/bolsa-familia/informes/informe-bolsa-familia-115" TargetMode="External" Id="rId367" /><Relationship Type="http://schemas.openxmlformats.org/officeDocument/2006/relationships/hyperlink" Target="https://www.planalto.gov.br/ccivil_03/_ato2023-2026/2023/lei/l14601.htm" TargetMode="External" Id="rId368" /><Relationship Type="http://schemas.openxmlformats.org/officeDocument/2006/relationships/hyperlink" Target="https://www12.senado.leg.br/ifi" TargetMode="External" Id="rId369" /><Relationship Type="http://schemas.openxmlformats.org/officeDocument/2006/relationships/hyperlink" Target="https://www.gov.br/mds/pt-br/acoes-e-programas/bolsa-familia/Folder_1_Regra_de_Protecao.pdf" TargetMode="External" Id="rId370" /><Relationship Type="http://schemas.openxmlformats.org/officeDocument/2006/relationships/hyperlink" Target="https://www.band.com.br/noticias/bolsa-familia-vai-aumentar-e-verdade-quais-as-regras-202603021451" TargetMode="External" Id="rId371" /><Relationship Type="http://schemas.openxmlformats.org/officeDocument/2006/relationships/hyperlink" Target="https://sbtnews.sbt.com.br/colunas/coluna-da-amanda/plano-de-flavio-preve-trem-do-nordeste-e-acoes-para-mulheres" TargetMode="External" Id="rId372" /><Relationship Type="http://schemas.openxmlformats.org/officeDocument/2006/relationships/hyperlink" Target="https://www.dgabc.com.br/Noticia/4347238/no-ceara-flavio-bolsonaro-diz-querer-ser-reconhecido-como-o-novo-visconde-de-maua" TargetMode="External" Id="rId373" /><Relationship Type="http://schemas.openxmlformats.org/officeDocument/2006/relationships/hyperlink" Target="https://diariodonordeste.verdesmares.com.br/negocios/transnordestina-completa-20-anos-hoje-com-custo-3-vezes-maior-veja-curiosidades-da-ferrovia-1.3768181" TargetMode="External" Id="rId374" /><Relationship Type="http://schemas.openxmlformats.org/officeDocument/2006/relationships/hyperlink" Target="https://movimentoeconomico.com.br/geral/infraestrutura/ferrovia/2026/09/24/com-832-km-executados-transnordestina-recebe-r-772-mi-de-nova-parcela-do-fdne/" TargetMode="External" Id="rId375" /><Relationship Type="http://schemas.openxmlformats.org/officeDocument/2006/relationships/hyperlink" Target="https://www.poder360.com.br/poder-economia/divida-bruta-atinge-829-do-pib-em-agosto-diz-banco-central/" TargetMode="External" Id="rId376" /><Relationship Type="http://schemas.openxmlformats.org/officeDocument/2006/relationships/hyperlink" Target="https://www.poder360.com.br/poder-economia/divida-bruta-atinge-829-do-pib-em-agosto-diz-banco-central/" TargetMode="External" Id="rId377" /><Relationship Type="http://schemas.openxmlformats.org/officeDocument/2006/relationships/hyperlink" Target="https://www.dgabc.com.br/Noticia/4337550/focus-selic-no-fim-de-2026-segue-em-14-00-fim-de-2027-segue-em-12-00" TargetMode="External" Id="rId378" /><Relationship Type="http://schemas.openxmlformats.org/officeDocument/2006/relationships/hyperlink" Target="https://www2.senado.leg.br/jspui/bitstream/id/935942/5/RAF113_JUN2026_4_Cenarios_divida.pdf" TargetMode="External" Id="rId379" /><Relationship Type="http://schemas.openxmlformats.org/officeDocument/2006/relationships/hyperlink" Target="https://www.opovo.com.br/noticias/economia/2026/07/28/com-rs-22-bi-renegociados-desenrola-2-0-e-prorrogado-ate-agosto.html" TargetMode="External" Id="rId380" /><Relationship Type="http://schemas.openxmlformats.org/officeDocument/2006/relationships/hyperlink" Target="https://www.poder360.com.br/poder-economia/divida-bruta-atinge-829-do-pib-em-agosto-diz-banco-central/" TargetMode="External" Id="rId381" /><Relationship Type="http://schemas.openxmlformats.org/officeDocument/2006/relationships/hyperlink" Target="https://www.oliberal.com/economia/acredita-no-primeiro-passo-programa-do-governo-federal-para-empreendedores-e-lancado-no-para-1.851968" TargetMode="External" Id="rId382" /><Relationship Type="http://schemas.openxmlformats.org/officeDocument/2006/relationships/hyperlink" Target="https://mercadoeconsumo.com.br/19/10/2024/economia/presidente-da-caixa-diz-que-banco-sera-reconhecido-como-um-dos-que-mais-fara-microcredito/" TargetMode="External" Id="rId383" /><Relationship Type="http://schemas.openxmlformats.org/officeDocument/2006/relationships/hyperlink" Target="https://www.poder360.com.br/poder-economia/divida-bruta-atinge-829-do-pib-em-agosto-diz-banco-central/" TargetMode="External" Id="rId384" /><Relationship Type="http://schemas.openxmlformats.org/officeDocument/2006/relationships/hyperlink" Target="https://viva.com.br/cidadania-e-direitos/caixa-lanca-microcredito-para-inscritos-no-cadunico-veja-quem-tem-direito.html" TargetMode="External" Id="rId385" /><Relationship Type="http://schemas.openxmlformats.org/officeDocument/2006/relationships/hyperlink" Target="https://futurodasaude.com.br/santas-casas-reajuste-tabela-sus-stj/" TargetMode="External" Id="rId386" /><Relationship Type="http://schemas.openxmlformats.org/officeDocument/2006/relationships/hyperlink" Target="https://www.correiodamanha.com.br/nacional/sao-paulo/estado-de-sao-paulo/2026/09/323554-tabela-sus-paulista-chega-a-rs-12-bilhoes-em-repasses-para-hospitais-do-estado.html" TargetMode="External" Id="rId387" /><Relationship Type="http://schemas.openxmlformats.org/officeDocument/2006/relationships/hyperlink" Target="https://www.al.sp.gov.br/noticia/?id=500305" TargetMode="External" Id="rId388" /><Relationship Type="http://schemas.openxmlformats.org/officeDocument/2006/relationships/hyperlink" Target="https://timesbrasil.com.br/empresas-e-negocios/ciencias-e-saude/ate-90-do-atendimento-do-sus-no-interior-e-feito-por-santas-casas-diz-especialista/" TargetMode="External" Id="rId389" /><Relationship Type="http://schemas.openxmlformats.org/officeDocument/2006/relationships/hyperlink" Target="https://abcdoabc.com.br/obras-do-novo-campus-do-inca-recomecam-no-rio-apos-uma-decada-de-paralisacao/" TargetMode="External" Id="rId390" /><Relationship Type="http://schemas.openxmlformats.org/officeDocument/2006/relationships/hyperlink" Target="https://www.cnnbrasil.com.br/politica/tcu-julga-pe-de-meia-nesta-quarta-feira-12/" TargetMode="External" Id="rId391" /><Relationship Type="http://schemas.openxmlformats.org/officeDocument/2006/relationships/hyperlink" Target="https://www.folhape.com.br/economia/tcu-aponta-irregularidade-fiscal-e-confirma-bloqueio-de-r-6-bi-do/386268/" TargetMode="External" Id="rId392" /><Relationship Type="http://schemas.openxmlformats.org/officeDocument/2006/relationships/hyperlink" Target="https://acritica.net/economia/pe-de-meia-alta-903-orcamento-decisao-tcu-arcabouco-fiscal/" TargetMode="External" Id="rId393" /><Relationship Type="http://schemas.openxmlformats.org/officeDocument/2006/relationships/hyperlink" Target="https://conexaoto.com.br/2026/02/26/um-em-cada-quatro-alunos-da-rede-publica-estuda-em-tempo-integral" TargetMode="External" Id="rId394" /><Relationship Type="http://schemas.openxmlformats.org/officeDocument/2006/relationships/hyperlink" Target="https://diariodocomercio.com.br/?p=561940" TargetMode="External" Id="rId395" /><Relationship Type="http://schemas.openxmlformats.org/officeDocument/2006/relationships/hyperlink" Target="https://www.metropoles.com/brasil/censo-escolar-alunos-tempo-integral" TargetMode="External" Id="rId396" /><Relationship Type="http://schemas.openxmlformats.org/officeDocument/2006/relationships/hyperlink" Target="https://www.itatiaia.com.br/educacao/censo-escolar-registra-queda-de-1-milhao-nas-matriculas-e-avanco-do-ensino-tecnico/" TargetMode="External" Id="rId397" /><Relationship Type="http://schemas.openxmlformats.org/officeDocument/2006/relationships/hyperlink" Target="https://jornaldebrasilia.com.br/noticias/brasil/brasil-registra-queda-de-1-milhao-de-alunos-na-educacao-basica-a-maior-em-duas-decadas/" TargetMode="External" Id="rId398" /><Relationship Type="http://schemas.openxmlformats.org/officeDocument/2006/relationships/hyperlink" Target="https://www.poder360.com.br/poder-congresso/motta-barra-emendas-que-enquadram-faccoes-como-terrorismo/" TargetMode="External" Id="rId399" /><Relationship Type="http://schemas.openxmlformats.org/officeDocument/2006/relationships/hyperlink" Target="https://www.opovo.com.br/noticias/mundo/2026/03/26/entenda-o-pl-antifaccao-sancionado-por-lula.html" TargetMode="External" Id="rId400" /><Relationship Type="http://schemas.openxmlformats.org/officeDocument/2006/relationships/hyperlink" Target="https://www.metropoles.com/brasil/camara-aprova-pl-antifaccao" TargetMode="External" Id="rId401" /><Relationship Type="http://schemas.openxmlformats.org/officeDocument/2006/relationships/hyperlink" Target="https://www.infomoney.com.br/politica/flavio-propoe-castracao-quimica-reducao-de-maioridade-penal-e-mudanca-em-presidios/" TargetMode="External" Id="rId402" /><Relationship Type="http://schemas.openxmlformats.org/officeDocument/2006/relationships/hyperlink" Target="https://www.band.com.br/radio-bandeirantes/noticias/luiz-inacio-lula-da-silva-sanciona-pl-antifaccao-com-vetos-e-amplia-combate-ao-crime-organizado-202603251111" TargetMode="External" Id="rId403" /><Relationship Type="http://schemas.openxmlformats.org/officeDocument/2006/relationships/hyperlink" Target="https://www.infomoney.com.br/politica/flavio-propoe-castracao-quimica-reducao-de-maioridade-penal-e-mudanca-em-presidios/" TargetMode="External" Id="rId404" /><Relationship Type="http://schemas.openxmlformats.org/officeDocument/2006/relationships/hyperlink" Target="https://www.planalto.gov.br/ccivil_03/decreto-lei/del2848compilado.htm" TargetMode="External" Id="rId405" /><Relationship Type="http://schemas.openxmlformats.org/officeDocument/2006/relationships/hyperlink" Target="https://www.planalto.gov.br/ccivil_03/leis/l7210.htm" TargetMode="External" Id="rId406" /><Relationship Type="http://schemas.openxmlformats.org/officeDocument/2006/relationships/hyperlink" Target="https://exame.com/brasil/ccj-da-camara-aprova-reducao-da-maioridade-penal-para-16-anos/" TargetMode="External" Id="rId407" /><Relationship Type="http://schemas.openxmlformats.org/officeDocument/2006/relationships/hyperlink" Target="https://www.infomoney.com.br/politica/flavio-propoe-castracao-quimica-reducao-de-maioridade-penal-e-mudanca-em-presidios/" TargetMode="External" Id="rId408" /><Relationship Type="http://schemas.openxmlformats.org/officeDocument/2006/relationships/hyperlink" Target="https://www25.senado.leg.br/web/atividade/materias/-/materia/135977/pdf" TargetMode="External" Id="rId409" /><Relationship Type="http://schemas.openxmlformats.org/officeDocument/2006/relationships/hyperlink" Target="https://www.band.com.br/politica/noticias/ccj-da-camara-deve-votar-a-proposta-de-reducao-da-maioridade-penal-202605191325" TargetMode="External" Id="rId410" /><Relationship Type="http://schemas.openxmlformats.org/officeDocument/2006/relationships/hyperlink" Target="https://www.diariodepernambuco.com.br/brasil/2026/03/11710307-senado-aprova-uso-imediato-de-tornozeleira-por-agressor-de-mulher.html" TargetMode="External" Id="rId411" /><Relationship Type="http://schemas.openxmlformats.org/officeDocument/2006/relationships/hyperlink" Target="https://www.migalhas.com.br/quentes/427156/senado-aprova-tornozeleira-eletronica-para-agressores-de-mulheres" TargetMode="External" Id="rId412" /><Relationship Type="http://schemas.openxmlformats.org/officeDocument/2006/relationships/hyperlink" Target="https://www.bemparana.com.br/noticias/politica/senado-obriga-uso-de-tornozeleira-por-agressor-de-mulheres-e-projeto-vai-a-sancao-de-lula/amp/" TargetMode="External" Id="rId413" /><Relationship Type="http://schemas.openxmlformats.org/officeDocument/2006/relationships/hyperlink" Target="https://www.infomoney.com.br/politica/flavio-acena-ao-agro-defende-marco-temporal-e-exploracao-em-terras-indigenas/" TargetMode="External" Id="rId414" /><Relationship Type="http://schemas.openxmlformats.org/officeDocument/2006/relationships/hyperlink" Target="https://www.congressoemfoco.com.br/noticia/121097/flavio-diz-que-indigenas-nao-querem-ser-mais-um-animal-de-zoologico" TargetMode="External" Id="rId415" /><Relationship Type="http://schemas.openxmlformats.org/officeDocument/2006/relationships/hyperlink" Target="https://www.camara.leg.br/noticias/949978-governo-retira-de-tramitacao-projeto-que-regula-mineracao-em-terra-indigena/" TargetMode="External" Id="rId416" /><Relationship Type="http://schemas.openxmlformats.org/officeDocument/2006/relationships/hyperlink" Target="https://www.camara.leg.br/propostas-legislativas/2236765" TargetMode="External" Id="rId417" /><Relationship Type="http://schemas.openxmlformats.org/officeDocument/2006/relationships/hyperlink" Target="https://exame.com/brasil/lula-pede-ao-congresso-retirada-do-pl-de-bolsonaro-que-libera-garimpo-em-terra-indigena/" TargetMode="External" Id="rId418" /><Relationship Type="http://schemas.openxmlformats.org/officeDocument/2006/relationships/hyperlink" Target="https://www.gov.br/funai/pt-br/assuntos/noticias/2023/governo-lula-pede-retirada-de-projeto-de-lei-que-preve-mineracao-em-terras-indigenas" TargetMode="External" Id="rId419" /><Relationship Type="http://schemas.openxmlformats.org/officeDocument/2006/relationships/hyperlink" Target="https://www1.siop.planejamento.gov.br/siopdoc/lib/exe/fetch.php/ploa:abertura_ploa-2027_quanti_externa_final.pdf" TargetMode="External" Id="rId420" /><Relationship Type="http://schemas.openxmlformats.org/officeDocument/2006/relationships/hyperlink" Target="https://www.infomoney.com.br/?p=2213754" TargetMode="External" Id="rId421" /><Relationship Type="http://schemas.openxmlformats.org/officeDocument/2006/relationships/hyperlink" Target="https://poder360.com.br/poder-economia/orcamento-governo-estima-salario-minimo-de-r-1-741-em-2027/" TargetMode="External" Id="rId422" /><Relationship Type="http://schemas.openxmlformats.org/officeDocument/2006/relationships/hyperlink" Target="https://clickpetroleoegas.com.br/ploa-2027-novo-pac-rodovias-ferrovias-portos-rss94/" TargetMode="External" Id="rId423" /><Relationship Type="http://schemas.openxmlformats.org/officeDocument/2006/relationships/hyperlink" Target="https://brasilagro.com.br/conteudo/fundo-amazonia-para-obra-em-rodovia-que-corta-floresta.html" TargetMode="External" Id="rId424" /><Relationship Type="http://schemas.openxmlformats.org/officeDocument/2006/relationships/hyperlink" Target="https://revistacenarium.com.br/nova-decisao-judicial-destrava-licenciamento-do-trecho-do-meio-da-br-319/" TargetMode="External" Id="rId425" /><Relationship Type="http://schemas.openxmlformats.org/officeDocument/2006/relationships/hyperlink" Target="https://emtempo.com.br/465072/amazonas/ibama-licenca-pontes-trecho-meio-br319/" TargetMode="External" Id="rId426" /><Relationship Type="http://schemas.openxmlformats.org/officeDocument/2006/relationships/hyperlink" Target="https://tribunadosmunicipios.com.br/corredor-leste-oeste-com-fiol-e-fico-tem-leilao-previsto-para-agosto-de-2026/" TargetMode="External" Id="rId427" /><Relationship Type="http://schemas.openxmlformats.org/officeDocument/2006/relationships/hyperlink" Target="https://www.bahianoticias.com.br/municipios/noticia/37434-jeronimo-reafirma-desejo-de-entregar-trecho-da-fiol-em-2026-mas-considera-lento-andamento-de-obra" TargetMode="External" Id="rId428" /><Relationship Type="http://schemas.openxmlformats.org/officeDocument/2006/relationships/hyperlink" Target="https://poder360.com.br/poder-economia/orcamento-governo-estima-salario-minimo-de-r-1-741-em-2027/" TargetMode="External" Id="rId429" /><Relationship Type="http://schemas.openxmlformats.org/officeDocument/2006/relationships/hyperlink" Target="https://www.dgabc.com.br/Noticia/4343075/salario-minimo-devera-subir-para-r$-1-741-em-2027" TargetMode="External" Id="rId430" /><Relationship Type="http://schemas.openxmlformats.org/officeDocument/2006/relationships/hyperlink" Target="https://www.jb.com.br/editorias/2026/10/05/salario-minimo-2027.html" TargetMode="External" Id="rId431" /><Relationship Type="http://schemas.openxmlformats.org/officeDocument/2006/relationships/hyperlink" Target="https://movimentoeconomico.com.br/economia/2026/08/25/salario-minimo-de-2027-tem-projecao-de-r-1-741-com-alta-de-74/" TargetMode="External" Id="rId432" /><Relationship Type="http://schemas.openxmlformats.org/officeDocument/2006/relationships/hyperlink" Target="https://www.poder360.com.br/poder-governo/lula-envia-pec-para-transporte-gratuito-ao-congresso/" TargetMode="External" Id="rId433" /><Relationship Type="http://schemas.openxmlformats.org/officeDocument/2006/relationships/hyperlink" Target="https://www.congressoemfoco.com.br/noticia/123316/lula-propoe-usar-emendas-para-financiar-tarifa-zero-aos-fins-de-semana" TargetMode="External" Id="rId434" /><Relationship Type="http://schemas.openxmlformats.org/officeDocument/2006/relationships/hyperlink" Target="https://www.dgabc.com.br/Noticia/4354042/tarifa-zero-governo-preve-r$-12-bi-mas-setor-estima-r$-20-8-bi" TargetMode="External" Id="rId435" /><Relationship Type="http://schemas.openxmlformats.org/officeDocument/2006/relationships/hyperlink" Target="https://diariodotransporte.com.br/2026/10/19/tarifa-zero-aos-fins-de-semana-e-bom-mas-e-necessario-reduzir-a-passagem-nos-dias-uteis-diz-ntu-custo-de-r-20-bi-por-ano-com-promessa-de-lula/amp/" TargetMode="External" Id="rId436" /><Relationship Type="http://schemas.openxmlformats.org/officeDocument/2006/relationships/hyperlink" Target="https://mais.opovo.com.br/jornal/economia/2026/10/20/tarifa-zero-no-transporte-aos-fins-de-semana-deve-custar-rs-208-bi-por-ano-diz-ntu.html" TargetMode="External" Id="rId437" /><Relationship Type="http://schemas.openxmlformats.org/officeDocument/2006/relationships/hyperlink" Target="https://www.diariodepernambuco.com.br/politica/2026/10/11727066-lula-sobre-emendas-para-tarifa-zero-vai-ser-briguinha-com-congresso-faz-parte-da-democracia.html" TargetMode="External" Id="rId438" /><Relationship Type="http://schemas.openxmlformats.org/officeDocument/2006/relationships/hyperlink" Target="https://dol.com.br/noticias/brasil/965565/fim-da-escala-6x1-veja-como-votaram-os-senadores" TargetMode="External" Id="rId439" /><Relationship Type="http://schemas.openxmlformats.org/officeDocument/2006/relationships/hyperlink" Target="https://www.folhavitoria.com.br/politica/senado-aprova-o-fim-da-escala-6x1/" TargetMode="External" Id="rId440" /><Relationship Type="http://schemas.openxmlformats.org/officeDocument/2006/relationships/hyperlink" Target="https://www.diariodepernambuco.com.br/politica/2026/09/11722955-senado-oposicao-obstrui-e-fim-da-escala-6x1-nao-vai-a-plenario.html" TargetMode="External" Id="rId441" /><Relationship Type="http://schemas.openxmlformats.org/officeDocument/2006/relationships/hyperlink" Target="https://www.poder360.com.br/poder-congresso/motta-quer-votacao-da-pec-do-fim-da-escala-6-x-1-no-plenario-ate-julho/" TargetMode="External" Id="rId442" /><Relationship Type="http://schemas.openxmlformats.org/officeDocument/2006/relationships/hyperlink" Target="https://mais.opovo.com.br/jornal/economia/2026/05/27/apoio-do-centrao-e-manobra-do-pl-os-bastidores-da-votacao-da-pec-6x1.html" TargetMode="External" Id="rId443" /><Relationship Type="http://schemas.openxmlformats.org/officeDocument/2006/relationships/hyperlink" Target="https://monitormercantil.com.br/aprovacao-do-fim-da-6x1-na-camara-joga-pressao-sobre-senado-e-bolsonaristas/" TargetMode="External" Id="rId444" /><Relationship Type="http://schemas.openxmlformats.org/officeDocument/2006/relationships/hyperlink" Target="https://agenciagov.ebc.com.br/noticias/202601/ramal-do-apodi-avanca-para-a-reta-final-e-reforca-seguranca-hidrica-do-nordeste" TargetMode="External" Id="rId445" /><Relationship Type="http://schemas.openxmlformats.org/officeDocument/2006/relationships/hyperlink" Target="https://movimentoeconomico.com.br/tag/ramal-do-apodi/" TargetMode="External" Id="rId446" /><Relationship Type="http://schemas.openxmlformats.org/officeDocument/2006/relationships/hyperlink" Target="https://www.gov.br/mdr/pt-br/assuntos/seguranca-hidrica/projeto-sao-francisco" TargetMode="External" Id="rId447" /><Relationship Type="http://schemas.openxmlformats.org/officeDocument/2006/relationships/hyperlink" Target="https://agenciagov.ebc.com.br/noticias/202505/lula-entrega-1o-trecho-do-ramal-do-apodi-201cagua-para-o-meu-povo-do-sertao201d" TargetMode="External" Id="rId448" /><Relationship Type="http://schemas.openxmlformats.org/officeDocument/2006/relationships/hyperlink" Target="https://www.poder360.com.br/poder-governo/ao-vivo-lula-participa-da-entrega-do-marco-1-do-ramal-do-apodi/" TargetMode="External" Id="rId449" /><Relationship Type="http://schemas.openxmlformats.org/officeDocument/2006/relationships/hyperlink" Target="https://agenciabrasil.ebc.com.br/politica/noticia/2025-05/sao-francisco-lula-autoriza-duplicacao-de-bombeamento-do-eixo-norte" TargetMode="External" Id="rId450" /><Relationship Type="http://schemas.openxmlformats.org/officeDocument/2006/relationships/hyperlink" Target="https://portaldeprefeitura.com.br/pernambuco/compesa/aguas-do-velho-chico-o-impacto-da-transposicao-no-agreste/591954/" TargetMode="External" Id="rId451" /><Relationship Type="http://schemas.openxmlformats.org/officeDocument/2006/relationships/hyperlink" Target="https://movimentoeconomico.com.br/infraestrutura-2/2025/02/25/agu-fecha-55-acordos-de-desapropriacao-para-transposicao-no-ceara/" TargetMode="External" Id="rId452" /><Relationship Type="http://schemas.openxmlformats.org/officeDocument/2006/relationships/hyperlink" Target="https://movimentoeconomico.com.br/abastecimento/2025/08/09/fatima-bezerra-transposicao-rn/" TargetMode="External" Id="rId453" /><Relationship Type="http://schemas.openxmlformats.org/officeDocument/2006/relationships/hyperlink" Target="https://static.poder360.com.br/2022/02/nota-mdr-rio-sao-francisco.pdf" TargetMode="External" Id="rId454" /><Relationship Type="http://schemas.openxmlformats.org/officeDocument/2006/relationships/hyperlink" Target="https://agenciabrasil.ebc.com.br/economia/noticia/2026-09/governo-cria-terceira-fase-do-desenrola-com-compra-de-dividas-pela-uni" TargetMode="External" Id="rId455" /><Relationship Type="http://schemas.openxmlformats.org/officeDocument/2006/relationships/hyperlink" Target="https://agenciabrasil.ebc.com.br/economia/noticia/2026-10/portaria-convoca-instituicoes-financeiras-para-3a-fase-do-desenrola" TargetMode="External" Id="rId456" /><Relationship Type="http://schemas.openxmlformats.org/officeDocument/2006/relationships/hyperlink" Target="https://agenciabrasil.ebc.com.br/economia/noticia/2026-10/ministro-preve-renegociacao-de-r-90-bi-em-3a-fase-do-desenrola" TargetMode="External" Id="rId457" /><Relationship Type="http://schemas.openxmlformats.org/officeDocument/2006/relationships/hyperlink" Target="https://agenciabrasil.ebc.com.br/economia/noticia/2026-05/novo-desenrola-comeca-valer-nesta-terca-feira" TargetMode="External" Id="rId458" /><Relationship Type="http://schemas.openxmlformats.org/officeDocument/2006/relationships/hyperlink" Target="https://agenciabrasil.ebc.com.br/tags/desenrola" TargetMode="External" Id="rId459" /><Relationship Type="http://schemas.openxmlformats.org/officeDocument/2006/relationships/hyperlink" Target="https://www12.senado.leg.br/ifi" TargetMode="External" Id="rId460" /><Relationship Type="http://schemas.openxmlformats.org/officeDocument/2006/relationships/hyperlink" Target="https://www12.senado.leg.br/ifi" TargetMode="External" Id="rId461" /><Relationship Type="http://schemas.openxmlformats.org/officeDocument/2006/relationships/hyperlink" Target="https://www.planalto.gov.br/ccivil_03/_ato2023-2026/2023/lei/L14640.htm" TargetMode="External" Id="rId462" /><Relationship Type="http://schemas.openxmlformats.org/officeDocument/2006/relationships/hyperlink" Target="https://www.planalto.gov.br/ccivil_03/leis/lcp/lcp200.htm" TargetMode="External" Id="rId463" /><Relationship Type="http://schemas.openxmlformats.org/officeDocument/2006/relationships/hyperlink" Target="https://www.gov.br/inep/pt-br/areas-de-atuacao/pesquisas-estatisticas-e-indicadores/censo-escolar" TargetMode="External" Id="rId464" /><Relationship Type="http://schemas.openxmlformats.org/officeDocument/2006/relationships/hyperlink" Target="https://www.gov.br/mec/pt-br/escola-em-tempo-integral" TargetMode="External" Id="rId465" /><Relationship Type="http://schemas.openxmlformats.org/officeDocument/2006/relationships/hyperlink" Target="https://www.planalto.gov.br/ccivil_03/_ato2023-2026/2024/lei/L14818.htm" TargetMode="External" Id="rId466" /><Relationship Type="http://schemas.openxmlformats.org/officeDocument/2006/relationships/hyperlink" Target="https://www.gov.br/mec/pt-br/pe-de-meia" TargetMode="External" Id="rId467" /><Relationship Type="http://schemas.openxmlformats.org/officeDocument/2006/relationships/hyperlink" Target="https://agenciabrasil.ebc.com.br/educacao" TargetMode="External" Id="rId468" /><Relationship Type="http://schemas.openxmlformats.org/officeDocument/2006/relationships/hyperlink" Target="https://portal.tcu.gov.br/" TargetMode="External" Id="rId469" /><Relationship Type="http://schemas.openxmlformats.org/officeDocument/2006/relationships/hyperlink" Target="https://www.diariodepernambuco.com.br/politica/2026/09/11725131-associacoes-de-bets-pedem-ao-stf-a-suspensao-da-mp-que-proibe-apostas-on-line.html" TargetMode="External" Id="rId470" /><Relationship Type="http://schemas.openxmlformats.org/officeDocument/2006/relationships/hyperlink" Target="https://www.congressoemfoco.com.br/noticia/122611/setor-de-apostas-pede-ao-stf-que-suspenda-mp-de-lula-contra-bets" TargetMode="External" Id="rId471" /><Relationship Type="http://schemas.openxmlformats.org/officeDocument/2006/relationships/hyperlink" Target="https://diariodonordeste.verdesmares.com.br/negocios/entidades-de-bets-pedem-ao-stf-suspensao-de-medida-que-proibe-apostas-online-1.3794646" TargetMode="External" Id="rId472" /><Relationship Type="http://schemas.openxmlformats.org/officeDocument/2006/relationships/hyperlink" Target="https://www.planalto.gov.br/ccivil_03/_ato2023-2026/2023/lei/l14790.htm" TargetMode="External" Id="rId473" /><Relationship Type="http://schemas.openxmlformats.org/officeDocument/2006/relationships/hyperlink" Target="https://www.gov.br/fazenda/pt-br/composicao/orgaos/secretaria-de-premios-e-apostas" TargetMode="External" Id="rId474" /><Relationship Type="http://schemas.openxmlformats.org/officeDocument/2006/relationships/hyperlink" Target="https://agenciabrasil.ebc.com.br/politica/noticia/2026-10/alcolumbre-retira-pec-da-seguranca-publica-da-pauta-do-senado" TargetMode="External" Id="rId475" /><Relationship Type="http://schemas.openxmlformats.org/officeDocument/2006/relationships/hyperlink" Target="https://agenciabrasil.ebc.com.br/geral/noticia/2026-10/ccj-do-senado-conclui-votacao-da-pec-da-seguranca-publica" TargetMode="External" Id="rId476" /><Relationship Type="http://schemas.openxmlformats.org/officeDocument/2006/relationships/hyperlink" Target="https://agenciabrasil.ebc.com.br/politica/noticia/2026-10/senadores-aprovam-pedido-para-acelerar-votacao-da-pec-da-seguranca" TargetMode="External" Id="rId477" /><Relationship Type="http://schemas.openxmlformats.org/officeDocument/2006/relationships/hyperlink" Target="https://agenciabrasil.ebc.com.br/politica/noticia/2026-03/camara-aprova-em-segundo-turno-pec-da-seguranca-publica" TargetMode="External" Id="rId478" /><Relationship Type="http://schemas.openxmlformats.org/officeDocument/2006/relationships/hyperlink" Target="https://agenciabrasil.ebc.com.br/geral/noticia/2025-10/aposta-do-governo-pec-da-seguranca-sofre-resistencias-no-congresso" TargetMode="External" Id="rId479" /><Relationship Type="http://schemas.openxmlformats.org/officeDocument/2006/relationships/hyperlink" Target="https://agenciabrasil.ebc.com.br/tags/pec-da-seguranca" TargetMode="External" Id="rId480" /><Relationship Type="http://schemas.openxmlformats.org/officeDocument/2006/relationships/hyperlink" Target="https://www.fundoamazonia.gov.br/pt/home/" TargetMode="External" Id="rId481" /><Relationship Type="http://schemas.openxmlformats.org/officeDocument/2006/relationships/hyperlink" Target="http://terrabrasilis.dpi.inpe.br/" TargetMode="External" Id="rId482" /><Relationship Type="http://schemas.openxmlformats.org/officeDocument/2006/relationships/hyperlink" Target="https://www.bndes.gov.br/" TargetMode="External" Id="rId483" /><Relationship Type="http://schemas.openxmlformats.org/officeDocument/2006/relationships/hyperlink" Target="https://www.planalto.gov.br/ccivil_03/_ato2023-2026/2023/lei/L14701.htm" TargetMode="External" Id="rId484" /></Relationships>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8" customWidth="1" min="2" max="2"/>
    <col width="18" customWidth="1" min="3" max="3"/>
    <col width="18" customWidth="1" min="4" max="4"/>
  </cols>
  <sheetData>
    <row r="1">
      <c r="A1" s="1" t="inlineStr">
        <is>
          <t>Placar da checagem — Debate Globo, 2º turno 2026 (23/10/2026)</t>
        </is>
      </c>
    </row>
    <row r="2">
      <c r="A2" s="2" t="inlineStr">
        <is>
          <t>Flávio Bolsonaro (PL) × Lula (PT) · cada declaração pesquisada por um agente e conferida por outro agente independente</t>
        </is>
      </c>
    </row>
    <row r="4">
      <c r="A4" s="3" t="inlineStr">
        <is>
          <t>Veredito</t>
        </is>
      </c>
      <c r="B4" s="3" t="inlineStr">
        <is>
          <t>Flávio Bolsonaro</t>
        </is>
      </c>
      <c r="C4" s="3" t="inlineStr">
        <is>
          <t>Lula</t>
        </is>
      </c>
      <c r="D4" s="3" t="inlineStr">
        <is>
          <t>Total</t>
        </is>
      </c>
    </row>
    <row r="5">
      <c r="A5" s="4" t="inlineStr">
        <is>
          <t>Verdadeiro</t>
        </is>
      </c>
      <c r="B5" s="5">
        <f>COUNTIFS(Checagens!$B$2:$B$92,"Flávio",Checagens!$E$2:$E$92,A5)</f>
        <v/>
      </c>
      <c r="C5" s="5">
        <f>COUNTIFS(Checagens!$B$2:$B$92,"Lula",Checagens!$E$2:$E$92,A5)</f>
        <v/>
      </c>
      <c r="D5" s="5">
        <f>B5+C5</f>
        <v/>
      </c>
    </row>
    <row r="6">
      <c r="A6" s="6" t="inlineStr">
        <is>
          <t>Verdadeiro, mas impreciso</t>
        </is>
      </c>
      <c r="B6" s="5">
        <f>COUNTIFS(Checagens!$B$2:$B$92,"Flávio",Checagens!$E$2:$E$92,A6)</f>
        <v/>
      </c>
      <c r="C6" s="5">
        <f>COUNTIFS(Checagens!$B$2:$B$92,"Lula",Checagens!$E$2:$E$92,A6)</f>
        <v/>
      </c>
      <c r="D6" s="5">
        <f>B6+C6</f>
        <v/>
      </c>
    </row>
    <row r="7">
      <c r="A7" s="7" t="inlineStr">
        <is>
          <t>Exagerado</t>
        </is>
      </c>
      <c r="B7" s="5">
        <f>COUNTIFS(Checagens!$B$2:$B$92,"Flávio",Checagens!$E$2:$E$92,A7)</f>
        <v/>
      </c>
      <c r="C7" s="5">
        <f>COUNTIFS(Checagens!$B$2:$B$92,"Lula",Checagens!$E$2:$E$92,A7)</f>
        <v/>
      </c>
      <c r="D7" s="5">
        <f>B7+C7</f>
        <v/>
      </c>
    </row>
    <row r="8">
      <c r="A8" s="8" t="inlineStr">
        <is>
          <t>Falso</t>
        </is>
      </c>
      <c r="B8" s="5">
        <f>COUNTIFS(Checagens!$B$2:$B$92,"Flávio",Checagens!$E$2:$E$92,A8)</f>
        <v/>
      </c>
      <c r="C8" s="5">
        <f>COUNTIFS(Checagens!$B$2:$B$92,"Lula",Checagens!$E$2:$E$92,A8)</f>
        <v/>
      </c>
      <c r="D8" s="5">
        <f>B8+C8</f>
        <v/>
      </c>
    </row>
    <row r="9">
      <c r="A9" s="9" t="inlineStr">
        <is>
          <t>Sem evidência</t>
        </is>
      </c>
      <c r="B9" s="5">
        <f>COUNTIFS(Checagens!$B$2:$B$92,"Flávio",Checagens!$E$2:$E$92,A9)</f>
        <v/>
      </c>
      <c r="C9" s="5">
        <f>COUNTIFS(Checagens!$B$2:$B$92,"Lula",Checagens!$E$2:$E$92,A9)</f>
        <v/>
      </c>
      <c r="D9" s="5">
        <f>B9+C9</f>
        <v/>
      </c>
    </row>
    <row r="10">
      <c r="A10" s="10" t="inlineStr">
        <is>
          <t>Total de declarações checadas</t>
        </is>
      </c>
      <c r="B10" s="11">
        <f>SUM(B5:B9)</f>
        <v/>
      </c>
      <c r="C10" s="11">
        <f>SUM(C5:C9)</f>
        <v/>
      </c>
      <c r="D10" s="11">
        <f>B10+C10</f>
        <v/>
      </c>
    </row>
    <row r="11">
      <c r="A11" s="12" t="n"/>
      <c r="B11" s="13" t="n"/>
      <c r="C11" s="13" t="n"/>
      <c r="D11" s="13" t="n"/>
    </row>
    <row r="12">
      <c r="A12" s="14" t="inlineStr">
        <is>
          <t>RESUMO</t>
        </is>
      </c>
      <c r="B12" s="13" t="n"/>
      <c r="C12" s="13" t="n"/>
      <c r="D12" s="13" t="n"/>
    </row>
    <row r="13">
      <c r="A13" s="10" t="inlineStr">
        <is>
          <t>Verdades (Verdadeiro + Verdadeiro, mas impreciso)</t>
        </is>
      </c>
      <c r="B13" s="11">
        <f>B5+B6</f>
        <v/>
      </c>
      <c r="C13" s="11">
        <f>C5+C6</f>
        <v/>
      </c>
      <c r="D13" s="11">
        <f>B13+C13</f>
        <v/>
      </c>
    </row>
    <row r="14">
      <c r="A14" s="10" t="inlineStr">
        <is>
          <t>Falsas (Falso)</t>
        </is>
      </c>
      <c r="B14" s="11">
        <f>B8</f>
        <v/>
      </c>
      <c r="C14" s="11">
        <f>C8</f>
        <v/>
      </c>
      <c r="D14" s="11">
        <f>B14+C14</f>
        <v/>
      </c>
    </row>
    <row r="15">
      <c r="A15" s="15" t="inlineStr">
        <is>
          <t>Exageradas</t>
        </is>
      </c>
      <c r="B15" s="5">
        <f>B7</f>
        <v/>
      </c>
      <c r="C15" s="5">
        <f>C7</f>
        <v/>
      </c>
      <c r="D15" s="5">
        <f>B15+C15</f>
        <v/>
      </c>
    </row>
    <row r="16">
      <c r="A16" s="15" t="inlineStr">
        <is>
          <t>Sem evidência</t>
        </is>
      </c>
      <c r="B16" s="5">
        <f>B9</f>
        <v/>
      </c>
      <c r="C16" s="5">
        <f>C9</f>
        <v/>
      </c>
      <c r="D16" s="5">
        <f>B16+C16</f>
        <v/>
      </c>
    </row>
    <row r="17">
      <c r="A17" s="15" t="inlineStr">
        <is>
          <t>% de verdades</t>
        </is>
      </c>
      <c r="B17" s="16">
        <f>IF(B10=0,0,B13/B10)</f>
        <v/>
      </c>
      <c r="C17" s="16">
        <f>IF(C10=0,0,C13/C10)</f>
        <v/>
      </c>
      <c r="D17" s="16">
        <f>IF(D10=0,0,D13/D10)</f>
        <v/>
      </c>
    </row>
    <row r="18">
      <c r="A18" s="15" t="inlineStr">
        <is>
          <t>% de falsas + exageradas</t>
        </is>
      </c>
      <c r="B18" s="16">
        <f>IF(B10=0,0,(B14+B15)/B10)</f>
        <v/>
      </c>
      <c r="C18" s="16">
        <f>IF(C10=0,0,(C14+C15)/C10)</f>
        <v/>
      </c>
      <c r="D18" s="16">
        <f>IF(D10=0,0,(D14+D15)/D10)</f>
        <v/>
      </c>
    </row>
    <row r="20">
      <c r="A20" s="12" t="inlineStr">
        <is>
          <t>Revisões em que o agente revisor discordou da pesquisa inicial</t>
        </is>
      </c>
      <c r="B20" s="12">
        <f>COUNTIF(Checagens!$I$2:$I$92,"Não")</f>
        <v/>
      </c>
    </row>
    <row r="22">
      <c r="A22" s="2" t="inlineStr">
        <is>
          <t>Critérios: "verdades" = Verdadeiro + Verdadeiro, mas impreciso; "falsas" = Falso. Exagerado e Sem evidência aparecem à parte. Detalhes na aba Metodologia.</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8" customWidth="1" min="1" max="1"/>
    <col width="18" customWidth="1" min="2" max="2"/>
    <col width="18" customWidth="1" min="3" max="3"/>
    <col width="18" customWidth="1" min="4" max="4"/>
  </cols>
  <sheetData>
    <row r="1">
      <c r="A1" s="1" t="inlineStr">
        <is>
          <t>Viabilidade das promessas, mandato 2027-2030</t>
        </is>
      </c>
    </row>
    <row r="2">
      <c r="A2" s="2" t="inlineStr">
        <is>
          <t>Viabilidade (%) = chance estimada de a promessa ser cumprida em boa parte até 2030, considerando custo/espaço fiscal, exigências legais, competência federativa, prazo e realidade regional.</t>
        </is>
      </c>
    </row>
    <row r="4">
      <c r="A4" s="3" t="inlineStr">
        <is>
          <t>Indicador</t>
        </is>
      </c>
      <c r="B4" s="3" t="inlineStr">
        <is>
          <t>Flávio Bolsonaro</t>
        </is>
      </c>
      <c r="C4" s="3" t="inlineStr">
        <is>
          <t>Lula</t>
        </is>
      </c>
      <c r="D4" s="3" t="inlineStr">
        <is>
          <t>Total</t>
        </is>
      </c>
    </row>
    <row r="5">
      <c r="A5" s="15" t="inlineStr">
        <is>
          <t>Promessas analisadas</t>
        </is>
      </c>
      <c r="B5" s="5">
        <f>COUNTIF(Promessas!$B$2:$B$41,"Flávio")</f>
        <v/>
      </c>
      <c r="C5" s="5">
        <f>COUNTIF(Promessas!$B$2:$B$41,"Lula")</f>
        <v/>
      </c>
      <c r="D5" s="5">
        <f>B5+C5</f>
        <v/>
      </c>
    </row>
    <row r="6">
      <c r="A6" s="10" t="inlineStr">
        <is>
          <t>Viabilidade média</t>
        </is>
      </c>
      <c r="B6" s="17">
        <f>IFERROR(AVERAGEIF(Promessas!$B$2:$B$41,"Flávio",Promessas!$F$2:$F$41),0)</f>
        <v/>
      </c>
      <c r="C6" s="17">
        <f>IFERROR(AVERAGEIF(Promessas!$B$2:$B$41,"Lula",Promessas!$F$2:$F$41),0)</f>
        <v/>
      </c>
      <c r="D6" s="17">
        <f>AVERAGE(Promessas!$F$2:$F$41)</f>
        <v/>
      </c>
    </row>
    <row r="7">
      <c r="A7" s="15" t="inlineStr">
        <is>
          <t>Viabilidade mais alta</t>
        </is>
      </c>
      <c r="B7" s="18">
        <f>SUMPRODUCT(MAX((Promessas!$B$2:$B$41="Flávio")*Promessas!$F$2:$F$41))</f>
        <v/>
      </c>
      <c r="C7" s="18">
        <f>SUMPRODUCT(MAX((Promessas!$B$2:$B$41="Lula")*Promessas!$F$2:$F$41))</f>
        <v/>
      </c>
      <c r="D7" s="18">
        <f>MAX(Promessas!$F$2:$F$41)</f>
        <v/>
      </c>
    </row>
    <row r="8">
      <c r="A8" s="15" t="inlineStr">
        <is>
          <t>Viabilidade mais baixa</t>
        </is>
      </c>
      <c r="B8" s="18">
        <f>SUMPRODUCT(MIN((Promessas!$B$2:$B$41="Flávio")*Promessas!$F$2:$F$41+(Promessas!$B$2:$B$41&lt;&gt;"Flávio")*2))</f>
        <v/>
      </c>
      <c r="C8" s="18">
        <f>SUMPRODUCT(MIN((Promessas!$B$2:$B$41="Lula")*Promessas!$F$2:$F$41+(Promessas!$B$2:$B$41&lt;&gt;"Lula")*2))</f>
        <v/>
      </c>
      <c r="D8" s="18">
        <f>MIN(Promessas!$F$2:$F$41)</f>
        <v/>
      </c>
    </row>
    <row r="9">
      <c r="A9" s="4" t="inlineStr">
        <is>
          <t>Alta viabilidade (70-100%)</t>
        </is>
      </c>
      <c r="B9" s="5">
        <f>COUNTIFS(Promessas!$B$2:$B$41,"Flávio",Promessas!$G$2:$G$41,"Alta")</f>
        <v/>
      </c>
      <c r="C9" s="5">
        <f>COUNTIFS(Promessas!$B$2:$B$41,"Lula",Promessas!$G$2:$G$41,"Alta")</f>
        <v/>
      </c>
      <c r="D9" s="5">
        <f>B9+C9</f>
        <v/>
      </c>
    </row>
    <row r="10">
      <c r="A10" s="7" t="inlineStr">
        <is>
          <t>Média viabilidade (40-69%)</t>
        </is>
      </c>
      <c r="B10" s="5">
        <f>COUNTIFS(Promessas!$B$2:$B$41,"Flávio",Promessas!$G$2:$G$41,"Média")</f>
        <v/>
      </c>
      <c r="C10" s="5">
        <f>COUNTIFS(Promessas!$B$2:$B$41,"Lula",Promessas!$G$2:$G$41,"Média")</f>
        <v/>
      </c>
      <c r="D10" s="5">
        <f>B10+C10</f>
        <v/>
      </c>
    </row>
    <row r="11">
      <c r="A11" s="8" t="inlineStr">
        <is>
          <t>Baixa viabilidade (0-39%)</t>
        </is>
      </c>
      <c r="B11" s="5">
        <f>COUNTIFS(Promessas!$B$2:$B$41,"Flávio",Promessas!$G$2:$G$41,"Baixa")</f>
        <v/>
      </c>
      <c r="C11" s="5">
        <f>COUNTIFS(Promessas!$B$2:$B$41,"Lula",Promessas!$G$2:$G$41,"Baixa")</f>
        <v/>
      </c>
      <c r="D11" s="5">
        <f>B11+C11</f>
        <v/>
      </c>
    </row>
    <row r="12">
      <c r="A12" s="15" t="inlineStr">
        <is>
          <t>% de promessas com alta viabilidade</t>
        </is>
      </c>
      <c r="B12" s="16">
        <f>IF(B5=0,0,B9/B5)</f>
        <v/>
      </c>
      <c r="C12" s="16">
        <f>IF(C5=0,0,C9/C5)</f>
        <v/>
      </c>
      <c r="D12" s="16">
        <f>IF(D5=0,0,D9/D5)</f>
        <v/>
      </c>
    </row>
    <row r="15">
      <c r="A15" s="19" t="inlineStr">
        <is>
          <t>Viabilidade média por tema</t>
        </is>
      </c>
    </row>
    <row r="16">
      <c r="A16" s="3" t="inlineStr">
        <is>
          <t>Tema (grupo)</t>
        </is>
      </c>
      <c r="B16" s="3" t="inlineStr">
        <is>
          <t>Flávio Bolsonaro</t>
        </is>
      </c>
      <c r="C16" s="3" t="inlineStr">
        <is>
          <t>Lula</t>
        </is>
      </c>
      <c r="D16" s="3" t="inlineStr">
        <is>
          <t>Nº promessas</t>
        </is>
      </c>
    </row>
    <row r="17">
      <c r="A17" s="15" t="inlineStr">
        <is>
          <t>Agro</t>
        </is>
      </c>
      <c r="B17" s="18">
        <f>IFERROR(AVERAGEIFS(Promessas!$F$2:$F$41,Promessas!$B$2:$B$41,"Flávio",Promessas!$R$2:$R$41,A17),"—")</f>
        <v/>
      </c>
      <c r="C17" s="18">
        <f>IFERROR(AVERAGEIFS(Promessas!$F$2:$F$41,Promessas!$B$2:$B$41,"Lula",Promessas!$R$2:$R$41,A17),"—")</f>
        <v/>
      </c>
      <c r="D17" s="20">
        <f>COUNTIF(Promessas!$R$2:$R$41,A17)</f>
        <v/>
      </c>
    </row>
    <row r="18">
      <c r="A18" s="15" t="inlineStr">
        <is>
          <t>Apostas</t>
        </is>
      </c>
      <c r="B18" s="18">
        <f>IFERROR(AVERAGEIFS(Promessas!$F$2:$F$41,Promessas!$B$2:$B$41,"Flávio",Promessas!$R$2:$R$41,A18),"—")</f>
        <v/>
      </c>
      <c r="C18" s="18">
        <f>IFERROR(AVERAGEIFS(Promessas!$F$2:$F$41,Promessas!$B$2:$B$41,"Lula",Promessas!$R$2:$R$41,A18),"—")</f>
        <v/>
      </c>
      <c r="D18" s="20">
        <f>COUNTIF(Promessas!$R$2:$R$41,A18)</f>
        <v/>
      </c>
    </row>
    <row r="19">
      <c r="A19" s="15" t="inlineStr">
        <is>
          <t>Economia</t>
        </is>
      </c>
      <c r="B19" s="18">
        <f>IFERROR(AVERAGEIFS(Promessas!$F$2:$F$41,Promessas!$B$2:$B$41,"Flávio",Promessas!$R$2:$R$41,A19),"—")</f>
        <v/>
      </c>
      <c r="C19" s="18">
        <f>IFERROR(AVERAGEIFS(Promessas!$F$2:$F$41,Promessas!$B$2:$B$41,"Lula",Promessas!$R$2:$R$41,A19),"—")</f>
        <v/>
      </c>
      <c r="D19" s="20">
        <f>COUNTIF(Promessas!$R$2:$R$41,A19)</f>
        <v/>
      </c>
    </row>
    <row r="20">
      <c r="A20" s="15" t="inlineStr">
        <is>
          <t>Educação</t>
        </is>
      </c>
      <c r="B20" s="18">
        <f>IFERROR(AVERAGEIFS(Promessas!$F$2:$F$41,Promessas!$B$2:$B$41,"Flávio",Promessas!$R$2:$R$41,A20),"—")</f>
        <v/>
      </c>
      <c r="C20" s="18">
        <f>IFERROR(AVERAGEIFS(Promessas!$F$2:$F$41,Promessas!$B$2:$B$41,"Lula",Promessas!$R$2:$R$41,A20),"—")</f>
        <v/>
      </c>
      <c r="D20" s="20">
        <f>COUNTIF(Promessas!$R$2:$R$41,A20)</f>
        <v/>
      </c>
    </row>
    <row r="21">
      <c r="A21" s="15" t="inlineStr">
        <is>
          <t>Indígenas</t>
        </is>
      </c>
      <c r="B21" s="18">
        <f>IFERROR(AVERAGEIFS(Promessas!$F$2:$F$41,Promessas!$B$2:$B$41,"Flávio",Promessas!$R$2:$R$41,A21),"—")</f>
        <v/>
      </c>
      <c r="C21" s="18">
        <f>IFERROR(AVERAGEIFS(Promessas!$F$2:$F$41,Promessas!$B$2:$B$41,"Lula",Promessas!$R$2:$R$41,A21),"—")</f>
        <v/>
      </c>
      <c r="D21" s="20">
        <f>COUNTIF(Promessas!$R$2:$R$41,A21)</f>
        <v/>
      </c>
    </row>
    <row r="22">
      <c r="A22" s="15" t="inlineStr">
        <is>
          <t>Infraestrutura</t>
        </is>
      </c>
      <c r="B22" s="18">
        <f>IFERROR(AVERAGEIFS(Promessas!$F$2:$F$41,Promessas!$B$2:$B$41,"Flávio",Promessas!$R$2:$R$41,A22),"—")</f>
        <v/>
      </c>
      <c r="C22" s="18">
        <f>IFERROR(AVERAGEIFS(Promessas!$F$2:$F$41,Promessas!$B$2:$B$41,"Lula",Promessas!$R$2:$R$41,A22),"—")</f>
        <v/>
      </c>
      <c r="D22" s="20">
        <f>COUNTIF(Promessas!$R$2:$R$41,A22)</f>
        <v/>
      </c>
    </row>
    <row r="23">
      <c r="A23" s="15" t="inlineStr">
        <is>
          <t>Mobilidade</t>
        </is>
      </c>
      <c r="B23" s="18">
        <f>IFERROR(AVERAGEIFS(Promessas!$F$2:$F$41,Promessas!$B$2:$B$41,"Flávio",Promessas!$R$2:$R$41,A23),"—")</f>
        <v/>
      </c>
      <c r="C23" s="18">
        <f>IFERROR(AVERAGEIFS(Promessas!$F$2:$F$41,Promessas!$B$2:$B$41,"Lula",Promessas!$R$2:$R$41,A23),"—")</f>
        <v/>
      </c>
      <c r="D23" s="20">
        <f>COUNTIF(Promessas!$R$2:$R$41,A23)</f>
        <v/>
      </c>
    </row>
    <row r="24">
      <c r="A24" s="15" t="inlineStr">
        <is>
          <t>Mulheres</t>
        </is>
      </c>
      <c r="B24" s="18">
        <f>IFERROR(AVERAGEIFS(Promessas!$F$2:$F$41,Promessas!$B$2:$B$41,"Flávio",Promessas!$R$2:$R$41,A24),"—")</f>
        <v/>
      </c>
      <c r="C24" s="18">
        <f>IFERROR(AVERAGEIFS(Promessas!$F$2:$F$41,Promessas!$B$2:$B$41,"Lula",Promessas!$R$2:$R$41,A24),"—")</f>
        <v/>
      </c>
      <c r="D24" s="20">
        <f>COUNTIF(Promessas!$R$2:$R$41,A24)</f>
        <v/>
      </c>
    </row>
    <row r="25">
      <c r="A25" s="15" t="inlineStr">
        <is>
          <t>Nordeste</t>
        </is>
      </c>
      <c r="B25" s="18">
        <f>IFERROR(AVERAGEIFS(Promessas!$F$2:$F$41,Promessas!$B$2:$B$41,"Flávio",Promessas!$R$2:$R$41,A25),"—")</f>
        <v/>
      </c>
      <c r="C25" s="18">
        <f>IFERROR(AVERAGEIFS(Promessas!$F$2:$F$41,Promessas!$B$2:$B$41,"Lula",Promessas!$R$2:$R$41,A25),"—")</f>
        <v/>
      </c>
      <c r="D25" s="20">
        <f>COUNTIF(Promessas!$R$2:$R$41,A25)</f>
        <v/>
      </c>
    </row>
    <row r="26">
      <c r="A26" s="15" t="inlineStr">
        <is>
          <t>Norte</t>
        </is>
      </c>
      <c r="B26" s="18">
        <f>IFERROR(AVERAGEIFS(Promessas!$F$2:$F$41,Promessas!$B$2:$B$41,"Flávio",Promessas!$R$2:$R$41,A26),"—")</f>
        <v/>
      </c>
      <c r="C26" s="18">
        <f>IFERROR(AVERAGEIFS(Promessas!$F$2:$F$41,Promessas!$B$2:$B$41,"Lula",Promessas!$R$2:$R$41,A26),"—")</f>
        <v/>
      </c>
      <c r="D26" s="20">
        <f>COUNTIF(Promessas!$R$2:$R$41,A26)</f>
        <v/>
      </c>
    </row>
    <row r="27">
      <c r="A27" s="15" t="inlineStr">
        <is>
          <t>Saúde</t>
        </is>
      </c>
      <c r="B27" s="18">
        <f>IFERROR(AVERAGEIFS(Promessas!$F$2:$F$41,Promessas!$B$2:$B$41,"Flávio",Promessas!$R$2:$R$41,A27),"—")</f>
        <v/>
      </c>
      <c r="C27" s="18">
        <f>IFERROR(AVERAGEIFS(Promessas!$F$2:$F$41,Promessas!$B$2:$B$41,"Lula",Promessas!$R$2:$R$41,A27),"—")</f>
        <v/>
      </c>
      <c r="D27" s="20">
        <f>COUNTIF(Promessas!$R$2:$R$41,A27)</f>
        <v/>
      </c>
    </row>
    <row r="28">
      <c r="A28" s="15" t="inlineStr">
        <is>
          <t>Segurança</t>
        </is>
      </c>
      <c r="B28" s="18">
        <f>IFERROR(AVERAGEIFS(Promessas!$F$2:$F$41,Promessas!$B$2:$B$41,"Flávio",Promessas!$R$2:$R$41,A28),"—")</f>
        <v/>
      </c>
      <c r="C28" s="18">
        <f>IFERROR(AVERAGEIFS(Promessas!$F$2:$F$41,Promessas!$B$2:$B$41,"Lula",Promessas!$R$2:$R$41,A28),"—")</f>
        <v/>
      </c>
      <c r="D28" s="20">
        <f>COUNTIF(Promessas!$R$2:$R$41,A28)</f>
        <v/>
      </c>
    </row>
    <row r="29">
      <c r="A29" s="15" t="inlineStr">
        <is>
          <t>Social</t>
        </is>
      </c>
      <c r="B29" s="18">
        <f>IFERROR(AVERAGEIFS(Promessas!$F$2:$F$41,Promessas!$B$2:$B$41,"Flávio",Promessas!$R$2:$R$41,A29),"—")</f>
        <v/>
      </c>
      <c r="C29" s="18">
        <f>IFERROR(AVERAGEIFS(Promessas!$F$2:$F$41,Promessas!$B$2:$B$41,"Lula",Promessas!$R$2:$R$41,A29),"—")</f>
        <v/>
      </c>
      <c r="D29" s="20">
        <f>COUNTIF(Promessas!$R$2:$R$41,A29)</f>
        <v/>
      </c>
    </row>
    <row r="30">
      <c r="A30" s="15" t="inlineStr">
        <is>
          <t>Sul</t>
        </is>
      </c>
      <c r="B30" s="18">
        <f>IFERROR(AVERAGEIFS(Promessas!$F$2:$F$41,Promessas!$B$2:$B$41,"Flávio",Promessas!$R$2:$R$41,A30),"—")</f>
        <v/>
      </c>
      <c r="C30" s="18">
        <f>IFERROR(AVERAGEIFS(Promessas!$F$2:$F$41,Promessas!$B$2:$B$41,"Lula",Promessas!$R$2:$R$41,A30),"—")</f>
        <v/>
      </c>
      <c r="D30" s="20">
        <f>COUNTIF(Promessas!$R$2:$R$41,A30)</f>
        <v/>
      </c>
    </row>
    <row r="31">
      <c r="A31" s="15" t="inlineStr">
        <is>
          <t>Trabalho</t>
        </is>
      </c>
      <c r="B31" s="18">
        <f>IFERROR(AVERAGEIFS(Promessas!$F$2:$F$41,Promessas!$B$2:$B$41,"Flávio",Promessas!$R$2:$R$41,A31),"—")</f>
        <v/>
      </c>
      <c r="C31" s="18">
        <f>IFERROR(AVERAGEIFS(Promessas!$F$2:$F$41,Promessas!$B$2:$B$41,"Lula",Promessas!$R$2:$R$41,A31),"—")</f>
        <v/>
      </c>
      <c r="D31" s="20">
        <f>COUNTIF(Promessas!$R$2:$R$41,A31)</f>
        <v/>
      </c>
    </row>
    <row r="33">
      <c r="A33" s="2" t="inlineStr">
        <is>
          <t>"—" = o candidato não fez promessa nesse tema. A média geral pesa igualmente cada promessa; o detalhe está na aba Promessas.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0" customWidth="1" min="3" max="3"/>
    <col width="55" customWidth="1" min="4" max="4"/>
    <col width="20" customWidth="1" min="5" max="5"/>
    <col width="70" customWidth="1" min="6" max="6"/>
    <col width="10" customWidth="1" min="7" max="7"/>
    <col width="20" customWidth="1" min="8" max="8"/>
    <col width="11" customWidth="1" min="9" max="9"/>
    <col width="55" customWidth="1" min="10" max="10"/>
    <col width="60" customWidth="1" min="11" max="11"/>
  </cols>
  <sheetData>
    <row r="1">
      <c r="A1" s="3" t="inlineStr">
        <is>
          <t>ID</t>
        </is>
      </c>
      <c r="B1" s="3" t="inlineStr">
        <is>
          <t>Candidato</t>
        </is>
      </c>
      <c r="C1" s="3" t="inlineStr">
        <is>
          <t>Tempo no vídeo</t>
        </is>
      </c>
      <c r="D1" s="3" t="inlineStr">
        <is>
          <t>Declaração (resumo)</t>
        </is>
      </c>
      <c r="E1" s="3" t="inlineStr">
        <is>
          <t>Veredito final</t>
        </is>
      </c>
      <c r="F1" s="3" t="inlineStr">
        <is>
          <t>Explicação (resumo)</t>
        </is>
      </c>
      <c r="G1" s="3" t="inlineStr">
        <is>
          <t>Confiança</t>
        </is>
      </c>
      <c r="H1" s="3" t="inlineStr">
        <is>
          <t>Veredito da pesquisa inicial</t>
        </is>
      </c>
      <c r="I1" s="3" t="inlineStr">
        <is>
          <t>Revisor concordou?</t>
        </is>
      </c>
      <c r="J1" s="3" t="inlineStr">
        <is>
          <t>Nota do revisor independente</t>
        </is>
      </c>
      <c r="K1" s="3" t="inlineStr">
        <is>
          <t>Principais fontes</t>
        </is>
      </c>
    </row>
    <row r="2">
      <c r="A2" s="21" t="inlineStr">
        <is>
          <t>F01</t>
        </is>
      </c>
      <c r="B2" s="21" t="inlineStr">
        <is>
          <t>Flávio</t>
        </is>
      </c>
      <c r="C2" s="21" t="inlineStr">
        <is>
          <t>00:07</t>
        </is>
      </c>
      <c r="D2" s="21" t="inlineStr">
        <is>
          <t>O governo Bolsonaro recebeu o país em 2019 com cerca de 14.000 obras inacabadas e entregou com pouco mais de 8.000.</t>
        </is>
      </c>
      <c r="E2" s="22" t="inlineStr">
        <is>
          <t>Verdadeiro, mas impreciso</t>
        </is>
      </c>
      <c r="F2" s="21" t="inlineStr">
        <is>
          <t>Os números se aproximam dos levantamentos do TCU. A auditoria do Acórdão 1.079/2019, feita entre 2017 e 2019, achou cerca de 14 mil obras paralisadas num total de 38 mil (cerca de 37%). O levantamento julgado pelo TCU em 18/10/2023, que O Povo associa à situação de 2022, achou 8.603 obras paralisadas, mas num universo bem menor, de 21.007. A queda absoluta existe. A proporção de obras paradas, porém, subiu de cerca de 29% em 2020 (7.862 de 27.126) para 41%. O TCU também concluiu que não existiu, entre 2019 e 2022, política pública para resolver o problema das obras paralisadas.</t>
        </is>
      </c>
      <c r="G2" s="21" t="inlineStr">
        <is>
          <t>Alta</t>
        </is>
      </c>
      <c r="H2" s="21" t="inlineStr">
        <is>
          <t>Verdadeiro, mas impreciso</t>
        </is>
      </c>
      <c r="I2" s="21" t="inlineStr">
        <is>
          <t>Sim</t>
        </is>
      </c>
      <c r="J2" s="21" t="inlineStr">
        <is>
          <t>REAVALIADO SEM FONTES ENVIESADAS. Veredito mantido. Saíram o 8.674 e o 14,4 mil em 38,4 mil, que só vinham da Gazeta do Povo. Entraram os números oficiais do TCU: 8.603 em 21.007 e cerca de 14 mil em 38 mil. O Jornal Opção não foi usado. Revisor: Abri todas as fontes citadas, e elas são permitidas e confirmam o que o agente afirma. O 8.603/21.007 e os 29% e 41% estão na notícia do TCU. O 14 mil em 38 mil está no relatório do TCU de 2019. A frase sobre a falta de política pública entre 2019 e 2022 está em O Povo. Um ajuste: a notícia do TCU dá como data dos dados a sessão de 18/10/2023, e a ligação com 2022 vem de O Povo. O texto foi ajustado para refletir isso. Nenhum dado depende de fonte excluída.</t>
        </is>
      </c>
      <c r="K2" s="21" t="inlineStr">
        <is>
          <t>https://portal.tcu.gov.br/imprensa/noticias/brasil-tem-86-mil-obras-paralisadas-financiadas-com-recursos-federais
https://sites.tcu.gov.br/relatorio-de-politicas/2019/area_12.htm
https://www.opovo.com.br/noticias/economia/2023/10/18/tcu-diz-que-nao-existiu-entre-2019-e-2022-politicas-para-obras-paralisadas-e-cobra-medidas.html</t>
        </is>
      </c>
    </row>
    <row r="3">
      <c r="A3" s="21" t="inlineStr">
        <is>
          <t>F02</t>
        </is>
      </c>
      <c r="B3" s="21" t="inlineStr">
        <is>
          <t>Flávio</t>
        </is>
      </c>
      <c r="C3" s="21" t="inlineStr">
        <is>
          <t>00:07</t>
        </is>
      </c>
      <c r="D3" s="21" t="inlineStr">
        <is>
          <t>O TCU acaba de soltar (2026) relatório apontando mais de 11.500 obras paralisadas no atual governo.</t>
        </is>
      </c>
      <c r="E3" s="22" t="inlineStr">
        <is>
          <t>Verdadeiro, mas impreciso</t>
        </is>
      </c>
      <c r="F3" s="21" t="inlineStr">
        <is>
          <t>Em 30/07/2025, o TCU divulgou que 11.469 das 22.621 obras com recursos federais (50,7%) estavam paralisadas em abril de 2025. O número fica um pouco abaixo dos 'mais de 11.500' citados, e o relatório é de 2025, não de 2026. O estoque também reúne obras iniciadas em gestões anteriores: das 5.505 obras iniciadas entre abril de 2024 e abril de 2025, cerca de 1,2 mil (22%) estavam paradas.</t>
        </is>
      </c>
      <c r="G3" s="21" t="inlineStr">
        <is>
          <t>Alta</t>
        </is>
      </c>
      <c r="H3" s="21" t="inlineStr">
        <is>
          <t>Verdadeiro, mas impreciso</t>
        </is>
      </c>
      <c r="I3" s="21" t="inlineStr">
        <is>
          <t>Sim</t>
        </is>
      </c>
      <c r="J3" s="21" t="inlineStr">
        <is>
          <t>REAVALIADO SEM FONTES ENVIESADAS. Nada mudou na substância. Revisor: Confirmei no TCU e no Viva os números 11.469 de 22.621 (50,7%), a data de 30/07/2025, a referência a abril de 2025 e as cerca de 1,2 mil paradas entre as 5.505 obras recentes. Acrescentei à explicação que 11.469 fica levemente abaixo de 'mais de 11.500'. Nenhum dado depende de fonte excluída.</t>
        </is>
      </c>
      <c r="K3" s="21" t="inlineStr">
        <is>
          <t>https://portal.tcu.gov.br/imprensa/noticias/metade-das-obras-financiadas-com-recursos-federais-estao-paradas
https://viva.com.br/noticias/brasil-tem-mais-de-11-mil-obras-paradas-para-tcu-volume-e-preocupante.html</t>
        </is>
      </c>
    </row>
    <row r="4">
      <c r="A4" s="21" t="inlineStr">
        <is>
          <t>F03</t>
        </is>
      </c>
      <c r="B4" s="21" t="inlineStr">
        <is>
          <t>Flávio</t>
        </is>
      </c>
      <c r="C4" s="21" t="inlineStr">
        <is>
          <t>00:10</t>
        </is>
      </c>
      <c r="D4" s="21" t="inlineStr">
        <is>
          <t>Regra do governo Bolsonaro garante pedágio zero para motociclistas em todas as novas concessões federais de rodovias.</t>
        </is>
      </c>
      <c r="E4" s="23" t="inlineStr">
        <is>
          <t>Exagerado</t>
        </is>
      </c>
      <c r="F4" s="21" t="inlineStr">
        <is>
          <t>A Portaria 104/2021 do Ministério da Infraestrutura fixou como diretriz a isenção de pedágio para motos nos editais de 11 rodovias federais então em licitação, como Dutra, Fernão Dias e BR-040. Não é uma regra que garanta a isenção em todas as novas concessões federais: cada contrato define a questão separadamente. A ideia de valer para todas foi uma promessa de Bolsonaro.</t>
        </is>
      </c>
      <c r="G4" s="21" t="inlineStr">
        <is>
          <t>Média</t>
        </is>
      </c>
      <c r="H4" s="21" t="inlineStr">
        <is>
          <t>Verdadeiro, mas impreciso</t>
        </is>
      </c>
      <c r="I4" s="21" t="inlineStr">
        <is>
          <t>Não</t>
        </is>
      </c>
      <c r="J4" s="21" t="inlineStr">
        <is>
          <t>A base da pesquisa original está correta, mas o InfoMoney confirma que a portaria se limitava a 11 rodovias específicas e que cada contrato é negociado separadamente. Por isso a palavra 'garante' com 'todas as novas concessões' infla a medida, e mudei o veredito de 'Verdadeiro, mas impreciso' para 'Exagerado'. Descartei as fontes de blogs de motos.</t>
        </is>
      </c>
      <c r="K4" s="21" t="inlineStr">
        <is>
          <t>https://www.infomoney.com.br/?p=1881372
https://oespecialista.safra.com.br/tcu-aprova-concessao-da-dutra-e-isencao-de-pedagio-para-motos/
https://www.motoo.com.br/novas-concessoes-de-rodovias-federais-terao-isencao-de-pedagio-para-motos/
https://www.agazeta.com.br/es/economia/motos-ficarao-livres-de-pagar-pedagio-na-br-262-apos-concessao-0721</t>
        </is>
      </c>
    </row>
    <row r="5">
      <c r="A5" s="21" t="inlineStr">
        <is>
          <t>F04</t>
        </is>
      </c>
      <c r="B5" s="21" t="inlineStr">
        <is>
          <t>Flávio</t>
        </is>
      </c>
      <c r="C5" s="21" t="inlineStr">
        <is>
          <t>00:10</t>
        </is>
      </c>
      <c r="D5" s="21" t="inlineStr">
        <is>
          <t>O governo Bolsonaro instalou mais de 21.300 pontos de internet, em mais de 3.100 cidades, atendendo mais de 11 milhões de brasileiros (escolas, unidades de saúde, aldeias).</t>
        </is>
      </c>
      <c r="E5" s="22" t="inlineStr">
        <is>
          <t>Verdadeiro, mas impreciso</t>
        </is>
      </c>
      <c r="F5" s="21" t="inlineStr">
        <is>
          <t>Os números batem com o balanço oficial do Ministério das Comunicações. O texto foi publicado no portal gov.br em 19/12/2022 e republicado pelo NIC.br em 20/12/2022; abri a página. Segundo ele, o Wi-Fi Brasil tinha 21,3 mil pontos de internet gratuita, atendia mais de 11 milhões de brasileiros em cerca de 3,2 mil cidades, e 16.195 conexões (76,2%) ficavam em escolas. Os 21.300 pontos, as mais de 3.100 cidades e os mais de 11 milhões de pessoas citados por Flávio estão, portanto, corretos. A imprecisão está em dizer que o governo Bolsonaro 'instalou' todos esses pontos. O Wi-Fi Brasil é a continuação do antigo programa GESAC, criado em 2002, e parte das conexões já existia antes de 2019. Em abril de 2021 a Agência Brasil já falava em mais de 13 mil pontos. A grande expansão aconteceu em 2021-2022, mas o total acumulado não foi instalado só nessa gestão. O balanço que abri não traz números separados de unidades de saúde e aldeias, apenas a menção genérica.</t>
        </is>
      </c>
      <c r="G5" s="21" t="inlineStr">
        <is>
          <t>Alta</t>
        </is>
      </c>
      <c r="H5" s="21" t="inlineStr">
        <is>
          <t>Verdadeiro, mas impreciso</t>
        </is>
      </c>
      <c r="I5" s="21" t="inlineStr">
        <is>
          <t>Sim</t>
        </is>
      </c>
      <c r="J5" s="21" t="inlineStr">
        <is>
          <t>RECHECADO (2ª rodada). Concordo com o veredito e agora há confirmação do número exato, que o agente anterior não havia achado: o balanço oficial de dezembro de 2022 confirma 21,3 mil pontos, cerca de 3,2 mil cidades e mais de 11 milhões de pessoas. A ressalva sobre a origem no GESAC (2002) continua válida. Observação: o limite de buscas da sessão se esgotou depois da primeira consulta, então a revisão se apoiou em páginas abertas com WebFetch.</t>
        </is>
      </c>
      <c r="K5" s="21" t="inlineStr">
        <is>
          <t>https://www.nic.br/noticia/na-midia/mais-de-21-3-mil-pontos-de-internet-do-wi-fi-brasil-sao-instalados/
https://agenciabrasil.ebc.com.br/geral/noticia/2021-04/programa-leva-internet-areas-remotas-do-pais
https://www.minhaoperadora.com.br/2022/06/governo-entregou-mais-de-17-mil-pontos-wi-fi-a-populacao.html
https://agenciasebrae.com.br/inovacao/wi-fi-brasil-sebrae-inicia-instalacao-dos-pontos-de-conexao</t>
        </is>
      </c>
    </row>
    <row r="6">
      <c r="A6" s="21" t="inlineStr">
        <is>
          <t>F05</t>
        </is>
      </c>
      <c r="B6" s="21" t="inlineStr">
        <is>
          <t>Flávio</t>
        </is>
      </c>
      <c r="C6" s="21" t="inlineStr">
        <is>
          <t>00:18</t>
        </is>
      </c>
      <c r="D6" s="21" t="inlineStr">
        <is>
          <t>Lula implementou a carga tributária mais alta da história do país.</t>
        </is>
      </c>
      <c r="E6" s="22" t="inlineStr">
        <is>
          <t>Verdadeiro, mas impreciso</t>
        </is>
      </c>
      <c r="F6" s="21" t="inlineStr">
        <is>
          <t>Pelos dados preliminares do Tesouro Nacional (abril de 2026), a carga tributária bruta de 2025 foi de 32,4% do PIB, a maior da série iniciada em 2010. Chamar isso de 'mais alta da história' vale só para essa série. A alta sobre 2024 foi pequena e se deve em parte ao comportamento da arrecadação, não apenas a novos tributos criados pelo governo.</t>
        </is>
      </c>
      <c r="G6" s="21" t="inlineStr">
        <is>
          <t>Média</t>
        </is>
      </c>
      <c r="H6" s="21" t="inlineStr">
        <is>
          <t>Verdadeiro, mas impreciso</t>
        </is>
      </c>
      <c r="I6" s="21" t="inlineStr">
        <is>
          <t>Sim</t>
        </is>
      </c>
      <c r="J6" s="21" t="inlineStr">
        <is>
          <t>Confirmei os 32,4% e que a série do Tesouro começa em 2010. A ressalva sobre séries anteriores, com outra metodologia, segue válida. As fontes usadas são portais secundários que reproduzem o Tesouro. Não acessei a nota oficial do Tesouro porque o limite de buscas acabou.</t>
        </is>
      </c>
      <c r="K6" s="21" t="inlineStr">
        <is>
          <t>https://www.reformatributaria.com/economia-reforma-tributaria-impactos/carga-tributaria-bate-recorde-em-2025-e-atinge-324-do-pib/
https://economicnewsbrasil.com.br/2026/04/11/carga-tributaria-brasil-2025-tesouro-dados/
https://www.contabeis.com.br/noticias/76330/carga-tributaria-do-brasil-atinge-recorde-de-32-4-do-pib-em-2025/</t>
        </is>
      </c>
    </row>
    <row r="7">
      <c r="A7" s="21" t="inlineStr">
        <is>
          <t>F06</t>
        </is>
      </c>
      <c r="B7" s="21" t="inlineStr">
        <is>
          <t>Flávio</t>
        </is>
      </c>
      <c r="C7" s="21" t="inlineStr">
        <is>
          <t>00:18</t>
        </is>
      </c>
      <c r="D7" s="21" t="inlineStr">
        <is>
          <t>A alíquota do novo IVA da reforma tributária é estimada em cerca de 28% e será o maior IVA do mundo; o governo já deveria ter enviado ao Congresso projeto definindo a alíquota.</t>
        </is>
      </c>
      <c r="E7" s="22" t="inlineStr">
        <is>
          <t>Verdadeiro, mas impreciso</t>
        </is>
      </c>
      <c r="F7" s="21" t="inlineStr">
        <is>
          <t>As estimativas do IVA dual ficaram em cerca de 28%: 27,97% no texto da Câmara e 28,55% após o Senado, segundo o relator Eduardo Braga. Isso supera os 27% da Hungria. Mas não há atraso no envio de projeto: pela lei complementar, se a alíquota de referência passar de 26,5%, o governo tem 90 dias a partir de dezembro de 2030 para enviar um projeto que reduza incentivos fiscais.</t>
        </is>
      </c>
      <c r="G7" s="21" t="inlineStr">
        <is>
          <t>Média</t>
        </is>
      </c>
      <c r="H7" s="21" t="inlineStr">
        <is>
          <t>Verdadeiro, mas impreciso</t>
        </is>
      </c>
      <c r="I7" s="21" t="inlineStr">
        <is>
          <t>Sim</t>
        </is>
      </c>
      <c r="J7" s="21" t="inlineStr">
        <is>
          <t>Confirmei no InfoMoney os 28,55%, a comparação com a Hungria e o prazo de 2030/2031. A segunda parte da fala é falsa. Mantive 'Verdadeiro, mas impreciso' porque o núcleo da afirmação, a alíquota de cerca de 28% e o maior IVA do mundo, se sustenta. Seria defensável também chamar a fala inteira de 'Exagerada'.</t>
        </is>
      </c>
      <c r="K7" s="21" t="inlineStr">
        <is>
          <t>https://www.infomoney.com.br/?p=2703795
https://www.moneytimes.com.br/brasil-tera-maior-aliquota-do-mundo-apos-reforma-tributaria-no-senado-jals/
https://edicao.correiobraziliense.com.br/correiobraziliense/2025/01/17/13530f/pdf/A02-POL-1701-DIG.pdf</t>
        </is>
      </c>
    </row>
    <row r="8">
      <c r="A8" s="21" t="inlineStr">
        <is>
          <t>F07</t>
        </is>
      </c>
      <c r="B8" s="21" t="inlineStr">
        <is>
          <t>Flávio</t>
        </is>
      </c>
      <c r="C8" s="21" t="inlineStr">
        <is>
          <t>00:19</t>
        </is>
      </c>
      <c r="D8" s="21" t="inlineStr">
        <is>
          <t>Foi Bolsonaro que estabeleceu o benefício mínimo de R$ 600 do Bolsa Família/Auxílio Brasil.</t>
        </is>
      </c>
      <c r="E8" s="23" t="inlineStr">
        <is>
          <t>Exagerado</t>
        </is>
      </c>
      <c r="F8" s="21" t="inlineStr">
        <is>
          <t>O governo Bolsonaro pagou o Auxílio Brasil de R$ 600 em 2022. O valor veio de um acréscimo temporário de R$ 200, aprovado pela chamada PEC das Bondades (ou PEC Kamikaze), que valia só até dezembro de 2022. Sem nova medida, o benefício voltaria a R$ 400 em janeiro de 2023. A manutenção dos R$ 600 em 2023 veio da PEC articulada pela equipe de transição de Lula, que ampliou o teto de gastos. O piso de R$ 600 por família, garantido por complementação, foi fixado pela Lei 14.601/2023, que recriou o Bolsa Família. Bolsonaro de fato pagou R$ 600, mas de forma temporária, e não estabeleceu o piso permanente.</t>
        </is>
      </c>
      <c r="G8" s="21" t="inlineStr">
        <is>
          <t>Alta</t>
        </is>
      </c>
      <c r="H8" s="21" t="inlineStr">
        <is>
          <t>Exagerado</t>
        </is>
      </c>
      <c r="I8" s="21" t="inlineStr">
        <is>
          <t>Sim</t>
        </is>
      </c>
      <c r="J8" s="21" t="inlineStr">
        <is>
          <t>REAVALIADO SEM FONTES ENVIESADAS. Veredito mantido. Saiu a Crusoé. A previsão do Orçamento de 2023 deu lugar ao dado confirmado de que o valor voltaria a R$ 400 em janeiro de 2023. Entrou a Lei 14.601/2023 como base do piso permanente. A referência ao número da EC 126 saiu. Revisor: O Correio Braziliense confirma a PEC das Bondades/Kamikaze e o acréscimo de R$ 200 válido até dezembro. O Jornal Contábil confirma a volta a R$ 400 sem nova medida e a PEC da equipe de Lula que ampliou o teto. A Câmara confirma o piso de R$ 600 por complementação na Lei 14.601/2023. A página do Planalto não abriu (timeout) e foi retirada das fontes, o que não muda o resultado porque a Câmara já confirma a lei. Tirei também o 'a partir de agosto', que nenhuma das fontes abertas confirma de forma explícita. Nenhum dado depende de fonte excluída.</t>
        </is>
      </c>
      <c r="K8" s="21" t="inlineStr">
        <is>
          <t>https://www.correiobraziliense.com.br/politica/2022/08/5029151-bolsonaro-rebate-lula-e-volta-a-prometer-auxilio-de-rs-600-em-2023.html
https://jornalcontabil.com.br/noticia/este-sera-o-novo-valor-do-auxilio-brasil-2023-veja-agora/
https://www.camara.leg.br/noticias/973711-SANCIONADA-LEI-QUE-RECRIA-O-PROGRAMA-BOLSA-FAMILIA
https://www.planalto.gov.br/ccivil_03/_ato2023-2026/2023/lei/l14601.htm</t>
        </is>
      </c>
    </row>
    <row r="9">
      <c r="A9" s="21" t="inlineStr">
        <is>
          <t>F08</t>
        </is>
      </c>
      <c r="B9" s="21" t="inlineStr">
        <is>
          <t>Flávio</t>
        </is>
      </c>
      <c r="C9" s="21" t="inlineStr">
        <is>
          <t>00:20</t>
        </is>
      </c>
      <c r="D9" s="21" t="inlineStr">
        <is>
          <t>Reduflação no governo Lula: dúzia de ovos virou caixa com 10, sabão em pó de 1 kg virou 800 g, barra de chocolate de 120 g virou 80 g, rolo de papel higiênico de 40 m virou 20 m.</t>
        </is>
      </c>
      <c r="E9" s="23" t="inlineStr">
        <is>
          <t>Exagerado</t>
        </is>
      </c>
      <c r="F9" s="21" t="inlineStr">
        <is>
          <t>A reduflação existe no Brasil e há casos documentados de caixas de ovos com 10 unidades, sabão em pó de 800 g e papel higiênico com menos metros. Mas é uma prática da indústria, anterior ao atual governo e que não resulta de política federal. Não encontrei os números exatos citados (chocolate de 120 g para 80 g, papel higiênico de 40 m para 20 m) como tendência geral.</t>
        </is>
      </c>
      <c r="G9" s="21" t="inlineStr">
        <is>
          <t>Média</t>
        </is>
      </c>
      <c r="H9" s="21" t="inlineStr">
        <is>
          <t>Exagerado</t>
        </is>
      </c>
      <c r="I9" s="21" t="inlineStr">
        <is>
          <t>Sim</t>
        </is>
      </c>
      <c r="J9" s="21" t="inlineStr">
        <is>
          <t>Concordo. O limite de buscas da sessão acabou, então não pude fazer busca nova. Lembro, de conhecimento prévio, que a regra federal que obriga avisar o consumidor sobre redução de quantidade (Portaria MJSP 392/2021) é de 2021, antes do atual governo. Isso reforça que a prática não começou com Lula. O link do ABCdoABC é de portal regional que repete um alerta do Procon; tem valor secundário.</t>
        </is>
      </c>
      <c r="K9" s="21" t="inlineStr">
        <is>
          <t>https://www.infomoney.com.br/?p=1885250
https://diariodonordeste.verdesmares.com.br/negocios/reduflacao-ocorre-mais-no-azeite-manteiga-e-cafe-aponta-estudo-veja-produtos-1.3531679
https://goias.gov.br/procon/wp-content/uploads/sites/19/2024/09/PLANILHA-GERAL-PESQUISA-DE-PRECOS-PRODUTOS-DE-LIMPEZA-E-HIGIENE-PESSOAL.pdf
https://abcdoabc.com.br/procon-santo-andre-alerta-consumidores-sobre-reduflacao/</t>
        </is>
      </c>
    </row>
    <row r="10">
      <c r="A10" s="21" t="inlineStr">
        <is>
          <t>F09</t>
        </is>
      </c>
      <c r="B10" s="21" t="inlineStr">
        <is>
          <t>Flávio</t>
        </is>
      </c>
      <c r="C10" s="21" t="inlineStr">
        <is>
          <t>00:19</t>
        </is>
      </c>
      <c r="D10" s="21" t="inlineStr">
        <is>
          <t>O Brasil tem uma das maiores taxas de juros do mundo.</t>
        </is>
      </c>
      <c r="E10" s="24" t="inlineStr">
        <is>
          <t>Verdadeiro</t>
        </is>
      </c>
      <c r="F10" s="21" t="inlineStr">
        <is>
          <t>Com a Selic perto de 14,25% a 14,50% em 2026, o Brasil está entre os maiores juros nominais do mundo e em 1º ou 2º lugar em juros reais, segundo rankings citados pela imprensa econômica.</t>
        </is>
      </c>
      <c r="G10" s="21" t="inlineStr">
        <is>
          <t>Alta</t>
        </is>
      </c>
      <c r="H10" s="21" t="inlineStr">
        <is>
          <t>Verdadeiro</t>
        </is>
      </c>
      <c r="I10" s="21" t="inlineStr">
        <is>
          <t>Sim</t>
        </is>
      </c>
      <c r="J10" s="21" t="inlineStr">
        <is>
          <t>Concordo. Não consegui fazer busca nova porque o limite de buscas acabou. A afirmação é genérica ("uma das maiores") e condiz com o histórico sabido da Selic e com as reportagens citadas, que são de portais de notícias.</t>
        </is>
      </c>
      <c r="K10" s="21" t="inlineStr">
        <is>
          <t>https://www.poder360.com.br/poder-economia/mesmo-com-corte-brasil-tem-o-maior-juro-real-do-planeta/
https://www.moneytimes.com.br/selic-a-1450-brasil-segue-com-o-2o-maior-juro-real-do-mundo-mesmo-apos-corte-jcav/
https://www.poder360.com.br/poder-economia/brasil-mantem-maior-juro-real-do-mundo-diz-pesquisa/</t>
        </is>
      </c>
    </row>
    <row r="11">
      <c r="A11" s="21" t="inlineStr">
        <is>
          <t>F10</t>
        </is>
      </c>
      <c r="B11" s="21" t="inlineStr">
        <is>
          <t>Flávio</t>
        </is>
      </c>
      <c r="C11" s="21" t="inlineStr">
        <is>
          <t>00:21</t>
        </is>
      </c>
      <c r="D11" s="21" t="inlineStr">
        <is>
          <t>Lula chamou o agro de fascista e disse que as pessoas (do agro) têm que se ajoelhar aos seus pés.</t>
        </is>
      </c>
      <c r="E11" s="22" t="inlineStr">
        <is>
          <t>Verdadeiro, mas impreciso</t>
        </is>
      </c>
      <c r="F11" s="21" t="inlineStr">
        <is>
          <t>Em 2022, Lula disse que parte do agronegócio era "fascista e direitista" e depois afirmou que não quis generalizar. Segundo a pesquisa original, em 2026 ele também disse que o agro deveria "se ajoelhar" diante dele por causa dos recursos dados ao setor. Flávio junta as duas falas e generaliza para o agro inteiro.</t>
        </is>
      </c>
      <c r="G11" s="21" t="inlineStr">
        <is>
          <t>Média</t>
        </is>
      </c>
      <c r="H11" s="21" t="inlineStr">
        <is>
          <t>Verdadeiro, mas impreciso</t>
        </is>
      </c>
      <c r="I11" s="21" t="inlineStr">
        <is>
          <t>Sim</t>
        </is>
      </c>
      <c r="J11" s="21" t="inlineStr">
        <is>
          <t>Concordo com o veredito. A fala de 2022 sobre parte do agro ser fascista está bem documentada. Não consegui abrir a fonte da fala do "ajoelhar" (o Canal Rural bloqueou o acesso, erro 403) e o limite de buscas acabou. Por isso essa parte depende só da fonte original, o que reduz a confiança.</t>
        </is>
      </c>
      <c r="K11" s="21" t="inlineStr">
        <is>
          <t>https://www.poder360.com.br/eleicoes/lula-diz-que-nao-generalizou-ao-ligar-agro-ao-fascismo/
https://jornaldebrasilia.com.br/noticias/politica-e-poder/aliado-de-lula-no-agro-diz-que-petista-errou-e-precisa-se-desculpar-por-fala-sobre-fascismo/
https://www.canalrural.com.br/politica/tereza-cristina-rebate-lula-apos-fala-sobre-agro-isso-nao-se-faz-com-bravatas/</t>
        </is>
      </c>
    </row>
    <row r="12">
      <c r="A12" s="21" t="inlineStr">
        <is>
          <t>F11</t>
        </is>
      </c>
      <c r="B12" s="21" t="inlineStr">
        <is>
          <t>Flávio</t>
        </is>
      </c>
      <c r="C12" s="21" t="inlineStr">
        <is>
          <t>00:24</t>
        </is>
      </c>
      <c r="D12" s="21" t="inlineStr">
        <is>
          <t>Os juros reais do crédito do Plano Safra chegam perto de 20%, e o governo Lula contingencia recursos do seguro rural e do Plano Safra.</t>
        </is>
      </c>
      <c r="E12" s="23" t="inlineStr">
        <is>
          <t>Exagerado</t>
        </is>
      </c>
      <c r="F12" s="21" t="inlineStr">
        <is>
          <t>O bloqueio de recursos do seguro rural (PSR) em 2026 foi noticiado. Já os juros das linhas oficiais do Plano Safra 2026/27 estão bem abaixo de 20%: o Pronamp tem teto de 9% ao ano e o Pronaf é ainda mais barato. Descontada a inflação, o juro real das linhas equalizadas fica muito longe de 20%.</t>
        </is>
      </c>
      <c r="G12" s="21" t="inlineStr">
        <is>
          <t>Média</t>
        </is>
      </c>
      <c r="H12" s="21" t="inlineStr">
        <is>
          <t>Exagerado</t>
        </is>
      </c>
      <c r="I12" s="21" t="inlineStr">
        <is>
          <t>Sim</t>
        </is>
      </c>
      <c r="J12" s="21" t="inlineStr">
        <is>
          <t>Confirmei no Times Brasil e no AgFeed o teto de 9% do Pronamp e que nenhum dos dois fala em 20%. As duas reportagens não informam a taxa de 12,5% do custeio empresarial que a pesquisa original atribuiu a elas. Não consegui abrir a matéria do Canal Rural sobre o bloqueio de R$ 461,7 milhões (erro 403). O AgFeed mostra ainda que o volume de custeio caiu cerca de 11% em termos reais, o que dá alguma base à crítica de aperto no crédito. A parte dos juros de 20% continua sem sustentação para o crédito oficial.</t>
        </is>
      </c>
      <c r="K12" s="21" t="inlineStr">
        <is>
          <t>https://timesbrasil.com.br/empresas-e-negocios/agro/plano-safra-26-27-governo-eleva-credito-a-r-5251-bilhoes-e-impoe-taxa-maxima-de-juros-no-campo/
https://agfeed.com.br/economia/plano-safra-cresce-menos-que-a-inflacao-e-agricultura-empresarial-tera-menos-recursos-para-o-custeio
https://www.canalrural.com.br/politica/bloqueio-de-r-4617-milhoes-no-psr-e-atribuido-a-restricoes-fiscais/
https://www.canalrural.com.br/politica/plano-safra-da-agricultura-familiar-preve-r-973-bilhoes-para-2026-2027/</t>
        </is>
      </c>
    </row>
    <row r="13">
      <c r="A13" s="21" t="inlineStr">
        <is>
          <t>F12</t>
        </is>
      </c>
      <c r="B13" s="21" t="inlineStr">
        <is>
          <t>Flávio</t>
        </is>
      </c>
      <c r="C13" s="21" t="inlineStr">
        <is>
          <t>00:29</t>
        </is>
      </c>
      <c r="D13" s="21" t="inlineStr">
        <is>
          <t>A esquerda governou a Argentina por 20 anos; Milei começou o governo com 211% de inflação e a taxa de juros chegou a 100%.</t>
        </is>
      </c>
      <c r="E13" s="22" t="inlineStr">
        <is>
          <t>Verdadeiro, mas impreciso</t>
        </is>
      </c>
      <c r="F13" s="21" t="inlineStr">
        <is>
          <t>A inflação anual de dezembro de 2023, mês da posse de Milei, foi de 211,4% segundo o Indec, o instituto oficial de estatística argentino. Os governos peronistas e kirchneristas somam cerca de 16 a 17 anos, com o governo Macri (2015 a 2019) no meio, e não 20 anos seguidos. A taxa básica era de 133% e foi o próprio governo Milei que a reduziu para 100% em dezembro de 2023.</t>
        </is>
      </c>
      <c r="G13" s="21" t="inlineStr">
        <is>
          <t>Média</t>
        </is>
      </c>
      <c r="H13" s="21" t="inlineStr">
        <is>
          <t>Verdadeiro, mas impreciso</t>
        </is>
      </c>
      <c r="I13" s="21" t="inlineStr">
        <is>
          <t>Sim</t>
        </is>
      </c>
      <c r="J13" s="21" t="inlineStr">
        <is>
          <t>Concordo. Não pude fazer busca nova. Os números batem com o que sei: 211,4% de inflação em 2023 e corte da taxa de 133% para 100% logo depois da posse. A fonte NBC News da lista original é um portal estrangeiro e não acrescenta nada; tirei da lista.</t>
        </is>
      </c>
      <c r="K13" s="21" t="inlineStr">
        <is>
          <t>https://www.poder360.com.br/internacional/milei-assume-argentina-com-inflacao-em-expansao-e-pobreza-alta/
https://www.opovo.com.br/noticias/mundo/2024/01/26/argentina-torna-se-o-pais-com-maior-inflacao-do-mundo.html
https://www.bloomberglinea.com.br/internacional/argentina-corta-juros-pela-sexta-vez-para-40-com-desaceleracao-da-inflacao
https://www.nbcnews.com/news/latino/argentina-inflation-surges-200-hitting-highest-level-decades-rcna133557</t>
        </is>
      </c>
    </row>
    <row r="14">
      <c r="A14" s="21" t="inlineStr">
        <is>
          <t>F13</t>
        </is>
      </c>
      <c r="B14" s="21" t="inlineStr">
        <is>
          <t>Flávio</t>
        </is>
      </c>
      <c r="C14" s="21" t="inlineStr">
        <is>
          <t>00:30</t>
        </is>
      </c>
      <c r="D14" s="21" t="inlineStr">
        <is>
          <t>Lula já gastou mais de R$ 400 bilhões para tentar se reeleger (medidas não previstas no orçamento).</t>
        </is>
      </c>
      <c r="E14" s="23" t="inlineStr">
        <is>
          <t>Exagerado</t>
        </is>
      </c>
      <c r="F14" s="21" t="inlineStr">
        <is>
          <t>O Poder360 somou "ao menos R$ 403,2 bilhões" em programas sociais em 2026. A reportagem detalha só uma parte desse total: Bolsa Família (R$ 158,6 bilhões), Farmácia Popular (R$ 6 bilhões) e Gás do Povo (R$ 4,7 bilhões). Sobre o Gás do Povo, o texto diz que o valor está "reservado no Orçamento de 2026". Bolsa Família e Farmácia Popular são programas antigos que o governo retomou, não medidas improvisadas. Por isso, não se sustenta dizer que os R$ 400 bilhões foram gastos em medidas fora do orçamento, nem atribuir todo o valor ao esforço de reeleição. O número em si existe, mas foi apresentado de forma exagerada.</t>
        </is>
      </c>
      <c r="G14" s="21" t="inlineStr">
        <is>
          <t>Média</t>
        </is>
      </c>
      <c r="H14" s="21" t="inlineStr">
        <is>
          <t>Exagerado</t>
        </is>
      </c>
      <c r="I14" s="21" t="inlineStr">
        <is>
          <t>Sim</t>
        </is>
      </c>
      <c r="J14" s="21" t="inlineStr">
        <is>
          <t>REAVALIADO SEM FONTES ENVIESADAS. O veredito foi mantido. A fonte excluída (Diário do Poder) foi descartada. O revisor conferiu o Poder360: os valores citados batem e o texto diz explicitamente que o Gás do Povo está no Orçamento. A reportagem não chama Bolsa Família e Farmácia Popular de "permanentes", e sim de programas retomados, por isso a redação foi ajustada. A confiança passou a Média. Revisor: A reavaliação não usa nenhum dado de fonte excluída. Os valores conferem com o Poder360. Ajustei só a redação: a reportagem não usa a palavra "permanentes", diz que os programas foram "resgatados".</t>
        </is>
      </c>
      <c r="K14" s="21" t="inlineStr">
        <is>
          <t>https://www.poder360.com.br/poder-economia/pacote-de-bondades-de-lula-soma-r-4032-bi-em-ano-eleitoral/</t>
        </is>
      </c>
    </row>
    <row r="15">
      <c r="A15" s="21" t="inlineStr">
        <is>
          <t>F14</t>
        </is>
      </c>
      <c r="B15" s="21" t="inlineStr">
        <is>
          <t>Flávio</t>
        </is>
      </c>
      <c r="C15" s="21" t="inlineStr">
        <is>
          <t>00:31</t>
        </is>
      </c>
      <c r="D15" s="21" t="inlineStr">
        <is>
          <t>Nas enchentes de 2024 no RS, Lula não entregou nem 30% do que prometeu.</t>
        </is>
      </c>
      <c r="E15" s="25" t="inlineStr">
        <is>
          <t>Falso</t>
        </is>
      </c>
      <c r="F15" s="21" t="inlineStr">
        <is>
          <t>Segundo o Correio da Manhã (maio de 2026), cerca de R$ 90 bilhões federais já foram usados pelo RS e pelos municípios gaúchos na reconstrução, o equivalente a 94% do previsto no Auxílio Reconstrução. A ministra da Casa Civil, Miriam Belchior, disse que a meta é chegar a 100%. Já no fim de maio de 2024, segundo o InfoMoney, cerca de 57% estava pago em emendas parlamentares (R$ 743 milhões de R$ 1,3 bilhão) e em recursos da Defesa Civil (R$ 176 milhões de R$ 310 milhões). O problema real são os atrasos: o TCU (Acórdão 2470/2025) apontou demora no repasse de recursos e na entrega de obras municipais. Mesmo assim, nenhum dado indica entrega abaixo de 30% do prometido.</t>
        </is>
      </c>
      <c r="G15" s="21" t="inlineStr">
        <is>
          <t>Alta</t>
        </is>
      </c>
      <c r="H15" s="21" t="inlineStr">
        <is>
          <t>Falso</t>
        </is>
      </c>
      <c r="I15" s="21" t="inlineStr">
        <is>
          <t>Sim</t>
        </is>
      </c>
      <c r="J15" s="21" t="inlineStr">
        <is>
          <t>REAVALIADO SEM FONTES ENVIESADAS. O resultado não mudou. A Gazeta do Povo foi descartada, e as três fontes permitidas, conferidas pelo revisor, sustentam o mesmo veredito. Revisor: Não há dado vindo de fonte excluída. Pequena correção: o Correio da Manhã não atribui o índice de 94% à ministra Miriam Belchior; ela apenas falou da meta de 100%. Os 57% do InfoMoney são uma conta feita a partir dos valores da reportagem e estão corretos.</t>
        </is>
      </c>
      <c r="K15" s="21" t="inlineStr">
        <is>
          <t>https://www.correiodamanha.com.br/nacional/sul/2026/05/284088-rs-verba-de-auxilio-reconstrucao-chega-a-94.html
https://portal.tcu.gov.br/imprensa/noticias/tribunal-acompanha-repasses-para-reconstrucao-de-municipios-gauchos
https://www.infomoney.com.br/?p=2481163</t>
        </is>
      </c>
    </row>
    <row r="16">
      <c r="A16" s="21" t="inlineStr">
        <is>
          <t>F15</t>
        </is>
      </c>
      <c r="B16" s="21" t="inlineStr">
        <is>
          <t>Flávio</t>
        </is>
      </c>
      <c r="C16" s="21" t="inlineStr">
        <is>
          <t>00:33</t>
        </is>
      </c>
      <c r="D16" s="21" t="inlineStr">
        <is>
          <t>Cerca de 90 milhões de brasileiros não têm esgoto tratado e cerca de 40 milhões não têm água tratada; o Marco Legal do Saneamento (meta de 90%+ até 2033) teve voto contrário da bancada do PT.</t>
        </is>
      </c>
      <c r="E16" s="22" t="inlineStr">
        <is>
          <t>Verdadeiro, mas impreciso</t>
        </is>
      </c>
      <c r="F16" s="21" t="inlineStr">
        <is>
          <t>O SINISA, ano-base 2023, registra 83,1% da população atendida por rede de água. Isso deixa cerca de 33 a 34 milhões de pessoas sem água tratada, abaixo dos 40 milhões citados. Cerca de 90 milhões (43%) não têm coleta de esgoto. Como só 51,8% do esgoto é tratado, o número de pessoas sem esgoto tratado é ainda maior que 90 milhões. O Marco Legal (Lei 14.026/2020) fixou 99% para água e 90% para esgoto até 2033, e a bancada do PT no Senado votou contra.</t>
        </is>
      </c>
      <c r="G16" s="21" t="inlineStr">
        <is>
          <t>Alta</t>
        </is>
      </c>
      <c r="H16" s="21" t="inlineStr">
        <is>
          <t>Verdadeiro, mas impreciso</t>
        </is>
      </c>
      <c r="I16" s="21" t="inlineStr">
        <is>
          <t>Sim</t>
        </is>
      </c>
      <c r="J16" s="21" t="inlineStr">
        <is>
          <t>Confirmei com o release oficial do SINISA os números de água (cerca de 34 milhões) e de esgoto (cerca de 90 milhões sem coleta). Um acréscimo: o número de 90 milhões subestima, e não infla, quem não tem esgoto tratado. O erro relevante é o dos 40 milhões sem água. Não consegui uma nova busca sobre a votação no Senado porque o limite de buscas da sessão acabou. Mantive a votação com base na fonte jornalística da pesquisa original (Poder360).</t>
        </is>
      </c>
      <c r="K16" s="21" t="inlineStr">
        <is>
          <t>https://www.gov.br/cidades/pt-br/assuntos/noticias-1/noticia-mcid-n-996/ReleaseSINISA.pdf/@@download/file
https://www.correiobraziliense.com.br/brasil/2024/07/6898213-muito-pouco-a-comemorar-nos-quatro-anos-do-marco-legal-do-saneamento.html
https://agenciainfra.com/blog/?p=36843
https://www.poder360.com.br/economia/lider-do-pt-no-senado-diz-que-vai-propor-adiamento-de-marco-do-saneamento/</t>
        </is>
      </c>
    </row>
    <row r="17">
      <c r="A17" s="21" t="inlineStr">
        <is>
          <t>F16</t>
        </is>
      </c>
      <c r="B17" s="21" t="inlineStr">
        <is>
          <t>Flávio</t>
        </is>
      </c>
      <c r="C17" s="21" t="inlineStr">
        <is>
          <t>00:35</t>
        </is>
      </c>
      <c r="D17" s="21" t="inlineStr">
        <is>
          <t>Por causa do atual governo, a meta de universalização do saneamento já foi empurrada para depois de 2050.</t>
        </is>
      </c>
      <c r="E17" s="25" t="inlineStr">
        <is>
          <t>Falso</t>
        </is>
      </c>
      <c r="F17" s="21" t="inlineStr">
        <is>
          <t>A meta legal de universalização continua em 2033. A proposta de adiá-la para 2040 é um projeto do deputado Amom Mandel (Cidadania-AM), e o ministro das Cidades, Jader Filho, disse ser 'absolutamente contrário' à prorrogação (Poder360, 06/06/2025). Existem projeções de que, no ritmo atual de investimento, a universalização só ocorreria depois de 2050. Mas são estimativas, algumas anteriores ao governo atual, e não uma mudança de meta feita pelo governo.</t>
        </is>
      </c>
      <c r="G17" s="21" t="inlineStr">
        <is>
          <t>Média</t>
        </is>
      </c>
      <c r="H17" s="21" t="inlineStr">
        <is>
          <t>Falso</t>
        </is>
      </c>
      <c r="I17" s="21" t="inlineStr">
        <is>
          <t>Sim</t>
        </is>
      </c>
      <c r="J17" s="21" t="inlineStr">
        <is>
          <t>Reli a matéria do Poder360 e confirmei a autoria do projeto de adiamento e a posição contrária do ministro. Descartei a fonte do Portal da Indústria (CNI), que é uma entidade setorial e não um portal jornalístico nem um órgão oficial. A conclusão não depende dela. Existe uma base real, as projeções de atraso, mas a afirmação de que a meta 'já foi empurrada' pelo governo é falsa.</t>
        </is>
      </c>
      <c r="K17" s="21" t="inlineStr">
        <is>
          <t>https://www.poder360.com.br/poder-governo/jader-filho-diz-ser-contra-prorrogar-prazo-para-universalizar-saneamento/
https://agenciainfra.com/blog/ministro-das-cidades-rejeita-prorrogacao-do-prazo-para-universalizacao-do-saneamento-hoje-previsto-para-2033/
https://www.correiobraziliense.com.br/politica/2023/04/5085337-lula-assina-regras-de-saneamento-e-pede-voto-de-confianca-a-empresas-publicas.html
https://jornaldebrasilia.com.br/noticias/brasil/universalizacao-do-saneamento-so-deve-acontecer-em-2070/</t>
        </is>
      </c>
    </row>
    <row r="18">
      <c r="A18" s="21" t="inlineStr">
        <is>
          <t>F17</t>
        </is>
      </c>
      <c r="B18" s="21" t="inlineStr">
        <is>
          <t>Flávio</t>
        </is>
      </c>
      <c r="C18" s="21" t="inlineStr">
        <is>
          <t>00:42</t>
        </is>
      </c>
      <c r="D18" s="21" t="inlineStr">
        <is>
          <t>O vídeo de Bolsonaro imitando pessoa com falta de ar foi tirado de contexto: ele criticava a orientação de esperar sentir falta de ar para ir ao hospital.</t>
        </is>
      </c>
      <c r="E18" s="22" t="inlineStr">
        <is>
          <t>Verdadeiro, mas impreciso</t>
        </is>
      </c>
      <c r="F18" s="21" t="inlineStr">
        <is>
          <t>Em lives de 2021, Bolsonaro imitou uma pessoa com falta de ar. Nos dois episódios, criticava a orientação de 2020 do ex-ministro Mandetta de só procurar o hospital em caso de falta de ar, portanto o contexto citado existe. A imitação, porém, aconteceu de fato. No Jornal Nacional de 2022, Bolsonaro chegou a negar que tivesse imitado. Dizer que foi 'tirado de contexto' omite o tom de deboche registrado pela imprensa.</t>
        </is>
      </c>
      <c r="G18" s="21" t="inlineStr">
        <is>
          <t>Alta</t>
        </is>
      </c>
      <c r="H18" s="21" t="inlineStr">
        <is>
          <t>Verdadeiro, mas impreciso</t>
        </is>
      </c>
      <c r="I18" s="21" t="inlineStr">
        <is>
          <t>Sim</t>
        </is>
      </c>
      <c r="J18" s="21" t="inlineStr">
        <is>
          <t>Confirmei pelo Poder360 que os dois vídeos são de 2021, que ambos criticavam o 'protocolo Mandetta' e que Bolsonaro negou a imitação no JN em agosto de 2022. As datas variam um pouco entre as reportagens (março e maio de 2021), o que não altera o veredito.</t>
        </is>
      </c>
      <c r="K18" s="21" t="inlineStr">
        <is>
          <t>https://www.poder360.com.br/eleicoes/assista-aos-2-videos-com-bolsonaro-imitando-ter-falta-de-ar/
https://www.poder360.com.br/coronavirus/bolsonaro-imita-pessoa-com-falta-de-ar-e-critica-mandetta/
https://www.em.com.br/app/noticia/politica/2021/03/18/interna_politica,1248339/amp.html
https://www.poder360.com.br/governo/bolsonaro-volta-a-imitar-pessoa-com-falta-de-ar-e-chama-mandetta-de-canalha/</t>
        </is>
      </c>
    </row>
    <row r="19">
      <c r="A19" s="21" t="inlineStr">
        <is>
          <t>F18</t>
        </is>
      </c>
      <c r="B19" s="21" t="inlineStr">
        <is>
          <t>Flávio</t>
        </is>
      </c>
      <c r="C19" s="21" t="inlineStr">
        <is>
          <t>00:42</t>
        </is>
      </c>
      <c r="D19" s="21" t="inlineStr">
        <is>
          <t>Os estados do Nordeste, governados pelo PT e aliados, são os mais violentos do Brasil.</t>
        </is>
      </c>
      <c r="E19" s="22" t="inlineStr">
        <is>
          <t>Verdadeiro, mas impreciso</t>
        </is>
      </c>
      <c r="F19" s="21" t="inlineStr">
        <is>
          <t>Pelo Anuário de Segurança Pública, noticiado pela CNN Brasil, o Nordeste é a região com a maior taxa de mortes violentas intencionais (31,6 por 100 mil, contra 19,1 no país) e concentra os 10 municípios mais violentos. A generalização para os estados, porém, falha. O Amapá, na região Norte, liderou o ranking estadual de 2024, e há estados nordestinos com taxas menores. Além disso, nem todos são governados pelo PT ou por aliados: Pernambuco e Sergipe, por exemplo, têm governadores do PSD.</t>
        </is>
      </c>
      <c r="G19" s="21" t="inlineStr">
        <is>
          <t>Média</t>
        </is>
      </c>
      <c r="H19" s="21" t="inlineStr">
        <is>
          <t>Verdadeiro, mas impreciso</t>
        </is>
      </c>
      <c r="I19" s="21" t="inlineStr">
        <is>
          <t>Sim</t>
        </is>
      </c>
      <c r="J19" s="21" t="inlineStr">
        <is>
          <t>Reli a matéria da CNN Brasil e confirmei as taxas regionais e a concentração dos municípios mais violentos no Nordeste. A matéria não traz o ranking estadual completo. Mantive o Amapá como líder estadual de 2024 com base no Diario de Pernambuco. Retirei a fonte Brasil61, que é dispensável. Acrescentei Sergipe como mais um estado do Nordeste governado pelo PSD.</t>
        </is>
      </c>
      <c r="K19" s="21" t="inlineStr">
        <is>
          <t>https://www.cnnbrasil.com.br/nacional/brasil/mortes-violentas-caem-82-no-brasil-em-2025-sete-estados-registram-alta/
https://www.diariodepernambuco.com.br/vida-urbana/2026/01/11706604-pernambuco-e-o-4-estado-mais-violento-do-brasil-aponta-anuario-de-seguranca.html
https://brasil61.com/n/anuario-de-seguranca-publica-nordeste-concentra-as-10-cidades-mais-violentas-do-brasil-em-2025-bras2616775.amp</t>
        </is>
      </c>
    </row>
    <row r="20">
      <c r="A20" s="21" t="inlineStr">
        <is>
          <t>F19</t>
        </is>
      </c>
      <c r="B20" s="21" t="inlineStr">
        <is>
          <t>Flávio</t>
        </is>
      </c>
      <c r="C20" s="21" t="inlineStr">
        <is>
          <t>00:44</t>
        </is>
      </c>
      <c r="D20" s="21" t="inlineStr">
        <is>
          <t>Lula prometeu entregar a transposição do São Francisco até 2009 e depois até 2014 e não entregou; foi Bolsonaro quem concluiu as obras e fez a água chegar ao Nordeste.</t>
        </is>
      </c>
      <c r="E20" s="23" t="inlineStr">
        <is>
          <t>Exagerado</t>
        </is>
      </c>
      <c r="F20" s="21" t="inlineStr">
        <is>
          <t>A obra começou em 2007 e 2008, no segundo mandato de Lula. A promessa original de conclusão era 2012, e os prazos foram descumpridos várias vezes nos governos do PT. Segundo o Poder360, os governos do PT investiram R$ 8,3 bilhões de um total de R$ 14,6 bilhões. Temer investiu R$ 2,8 bilhões e inaugurou a pré-operação do Eixo Leste em 2017, com água chegando à Paraíba e a Pernambuco. Bolsonaro investiu R$ 3,5 bilhões e concluiu e inaugurou trechos do Eixo Norte entre 2020 e 2022. Os eixos principais ficaram prontos em 2021, mas ramais seguiam inacabados.</t>
        </is>
      </c>
      <c r="G20" s="21" t="inlineStr">
        <is>
          <t>Média</t>
        </is>
      </c>
      <c r="H20" s="21" t="inlineStr">
        <is>
          <t>Exagerado</t>
        </is>
      </c>
      <c r="I20" s="21" t="inlineStr">
        <is>
          <t>Sim</t>
        </is>
      </c>
      <c r="J20" s="21" t="inlineStr">
        <is>
          <t>Confirmei pelo Poder360 a divisão dos investimentos por governo, a promessa original de 2012 e as inaugurações de Temer (Eixo Leste, 2017) e de Bolsonaro (Eixo Norte). Corrigi um detalhe: a pesquisa original citava execução de 70% a 86% até 2016, e prefiro a divisão em valores investidos (57% do total pelo PT), que é mais verificável. O MDR alegou que os percentuais de conclusão informados por governos anteriores eram inflados. A base é real (atrasos e conclusão do Eixo Norte sob Bolsonaro), mas é exagero atribuir a Bolsonaro a obra e a chegada da água ao Nordeste.</t>
        </is>
      </c>
      <c r="K20" s="21" t="inlineStr">
        <is>
          <t>https://www.poder360.com.br/eleicoes/lula-e-bolsonaro-disputam-ganho-politico-do-rio-sao-francisco/
https://diariodonordeste.verdesmares.com.br/regiao/obra-da-transposicao-do-sao-francisco-atrasa-mais-uma-vez-1.2043082
https://www.folhavitoria.com.br/economia/ministro-promete-transposicao-do-sao-francisco-para-2016/
https://www.tnh1.com.br/noticia/nid/em-pe-dilma-diz-que-obra-de-integracao-do-sao-francisco-sera-concluida-em-2016/</t>
        </is>
      </c>
    </row>
    <row r="21">
      <c r="A21" s="21" t="inlineStr">
        <is>
          <t>F20</t>
        </is>
      </c>
      <c r="B21" s="21" t="inlineStr">
        <is>
          <t>Flávio</t>
        </is>
      </c>
      <c r="C21" s="21" t="inlineStr">
        <is>
          <t>00:45</t>
        </is>
      </c>
      <c r="D21" s="21" t="inlineStr">
        <is>
          <t>No governo Lula o Bolsa Família pagava em média R$ 190 (R$ 75, R$ 120); Bolsonaro passou para no mínimo R$ 600.</t>
        </is>
      </c>
      <c r="E21" s="22" t="inlineStr">
        <is>
          <t>Verdadeiro, mas impreciso</t>
        </is>
      </c>
      <c r="F21" s="21" t="inlineStr">
        <is>
          <t>Nos governos Lula de 2003 a 2010, o benefício médio do Bolsa Família ficou entre cerca de R$ 70 e R$ 97, em valores nominais. Cerca de R$ 190 era a média de 2021, já no governo Bolsonaro. Bolsonaro criou o Auxílio Brasil, com mínimo de R$ 400, e o elevou a R$ 600 a partir de agosto de 2022 por emenda constitucional, com validade prevista só até dezembro de 2022. O governo Lula atual manteve o mínimo de R$ 600 de forma permanente, com adicionais. Os números de Flávio estão embaralhados, e a comparação ignora a inflação.</t>
        </is>
      </c>
      <c r="G21" s="21" t="inlineStr">
        <is>
          <t>Média</t>
        </is>
      </c>
      <c r="H21" s="21" t="inlineStr">
        <is>
          <t>Verdadeiro, mas impreciso</t>
        </is>
      </c>
      <c r="I21" s="21" t="inlineStr">
        <is>
          <t>Sim</t>
        </is>
      </c>
      <c r="J21" s="21" t="inlineStr">
        <is>
          <t>Não consegui reabrir as fontes: o Canal Rural retornou 403, o PDF do Senado veio ilegível e o limite de buscas da sessão acabou. O veredito se apoia nas fontes da pesquisa original e em dados amplamente noticiados (Lei 14.284/2021 e EC 123/2022). Descartei a fonte Tribuna do Sertão, um portal pequeno e dispensável. Concordo com o veredito: a essência (de valores bem menores a um mínimo de R$ 600) procede, mas os valores e a atribuição estão imprecisos, e o aumento era temporário.</t>
        </is>
      </c>
      <c r="K21" s="21" t="inlineStr">
        <is>
          <t>https://www12.senado.leg.br/publicacoes/estudos-legislativos/tipos-de-estudos/outras-publicacoes/agenda-legislativa/capitulo-22-o-programa-bolsa-familia-caminhos-futuros
https://www12.senado.leg.br/publicacoes/estudos-legislativos/tipos-de-estudos/boletins-legislativos/bol102
https://www.canalrural.com.br/agricultura/bolsa-familia-fechara-2010-com-128-milhoes-familias-atendidas-18834/
https://tribunadosertao.com.br/financas/2026/09/17/980641-antes-de-reajuste-anunciado-por-lula-valor-minimo-do-bolsa-familia-estava-em-r-600-desde-agosto-de-2022</t>
        </is>
      </c>
    </row>
    <row r="22">
      <c r="A22" s="21" t="inlineStr">
        <is>
          <t>F21</t>
        </is>
      </c>
      <c r="B22" s="21" t="inlineStr">
        <is>
          <t>Flávio</t>
        </is>
      </c>
      <c r="C22" s="21" t="inlineStr">
        <is>
          <t>00:52</t>
        </is>
      </c>
      <c r="D22" s="21" t="inlineStr">
        <is>
          <t>O Brasil tinha 199 mil moradores de rua inscritos no CadÚnico e esse número quase dobrou no governo Lula.</t>
        </is>
      </c>
      <c r="E22" s="24" t="inlineStr">
        <is>
          <t>Verdadeiro</t>
        </is>
      </c>
      <c r="F22" s="21" t="inlineStr">
        <is>
          <t>Os dados do CadÚnico divulgados pela imprensa indicam cerca de 198,7 mil pessoas em situação de rua inscritas em dezembro de 2022 e 392,4 mil em junho de 2026, alta de cerca de 97%. Ou seja, o número quase dobrou. O CadÚnico mede registros, e não a população real. Parte da alta reflete a retomada da busca ativa e do cadastramento depois do período de 2019 a 2022.</t>
        </is>
      </c>
      <c r="G22" s="21" t="inlineStr">
        <is>
          <t>Média</t>
        </is>
      </c>
      <c r="H22" s="21" t="inlineStr">
        <is>
          <t>Verdadeiro</t>
        </is>
      </c>
      <c r="I22" s="21" t="inlineStr">
        <is>
          <t>Sim</t>
        </is>
      </c>
      <c r="J22" s="21" t="inlineStr">
        <is>
          <t>Confirmei os números de 198,7 mil e 392,4 mil (+97,4%) no Portal de Prefeitura, mas ele é um agregador que não cita a fonte oficial, e isso pesa contra a confiança. O Jornal Opção retornou 403, e o relatório do MDH no gov.br exige login. Por isso não confirmei os números em fonte oficial, e o limite de buscas da sessão acabou. A trajetória é coerente com os 335 mil de 2025 noticiados pela Exame. Baixei a confiança de Alta para Média. A explicação do MDS sobre subnotificação não aparece nas fontes que consegui ler, e o artigo do Portal de Prefeitura não discute causas cadastrais.</t>
        </is>
      </c>
      <c r="K22" s="21" t="inlineStr">
        <is>
          <t>https://portaldeprefeitura.com.br/brasil/populacao-em-situacao-de-rua-inscrita-no-cadunico-chega-3924-mil-no/626258/
https://www.jornalopcao.com.br/ultimas-noticias/populacao-em-situacao-de-rua-quase-dobra-no-brasil-desde-o-inicio-do-governo-lula-goias-registra-alta-de-121-844337/
https://exame.com/brasil/mais-de-335-mil-pessoas-vivem-em-situacao-de-rua-no-brasil/
https://www.gov.br/mdh/pt-br/navegue-por-temas/populacao-em-situacao-de-rua/publicacoes/relat_pop_rua_digital.pdf</t>
        </is>
      </c>
    </row>
    <row r="23">
      <c r="A23" s="21" t="inlineStr">
        <is>
          <t>F22</t>
        </is>
      </c>
      <c r="B23" s="21" t="inlineStr">
        <is>
          <t>Flávio</t>
        </is>
      </c>
      <c r="C23" s="21" t="inlineStr">
        <is>
          <t>00:53</t>
        </is>
      </c>
      <c r="D23" s="21" t="inlineStr">
        <is>
          <t>O reajuste recente do Bolsa Família (há 17 dias, perto da eleição) equivale a R$ 3 por dia.</t>
        </is>
      </c>
      <c r="E23" s="22" t="inlineStr">
        <is>
          <t>Verdadeiro, mas impreciso</t>
        </is>
      </c>
      <c r="F23" s="21" t="inlineStr">
        <is>
          <t>Em 17/09/2026, Lula oficializou um reajuste de 15,04% no Bolsa Família. O piso foi de R$ 600 para R$ 691, ou seja, R$ 91 a mais por mês, cerca de R$ 3,03 por dia. O valor médio foi de R$ 675 para R$ 777, cerca de R$ 3,40 por dia. A conta bate com o piso. Mas o anúncio saiu 17 dias antes do 1º turno, não 17 dias antes do debate (foram 36). E o reajuste repõe a inflação acumulada desde 2023.</t>
        </is>
      </c>
      <c r="G23" s="21" t="inlineStr">
        <is>
          <t>Alta</t>
        </is>
      </c>
      <c r="H23" s="21" t="inlineStr">
        <is>
          <t>Verdadeiro, mas impreciso</t>
        </is>
      </c>
      <c r="I23" s="21" t="inlineStr">
        <is>
          <t>Sim</t>
        </is>
      </c>
      <c r="J23" s="21" t="inlineStr">
        <is>
          <t>A cota de buscas web da sessão acabou, então não fiz busca nova. Abri a matéria do SBT News, que confirma 15,04%, R$ 600 para R$ 691 e R$ 675 para R$ 777. A matéria não cita o número do decreto (13.120), que fica sem confirmação. Descartei a Tribuna de Jundiaí, que tem viés opinativo.</t>
        </is>
      </c>
      <c r="K23" s="21" t="inlineStr">
        <is>
          <t>https://sbtnews.sbt.com.br/noticia/economia/bolsa-familia-veja-calendario-de-outubro-com-novo-reajuste
https://www.dgabc.com.br/Noticia/4347515/bolsa-familia-e-reajustado-em-15-medida-vale-a-partir-de-outubro
https://www.opovo.com.br/trends/bolsa-familia-sobe-15-em-outubro-minimo-vai-a-r-691-e-valor-medio-projetado-chega-a-r-777/
https://tribunadejundiai.com.br/politica/lula-aumenta-bolsa-familia-a-17-dias-das-eleicoes/</t>
        </is>
      </c>
    </row>
    <row r="24">
      <c r="A24" s="21" t="inlineStr">
        <is>
          <t>F23</t>
        </is>
      </c>
      <c r="B24" s="21" t="inlineStr">
        <is>
          <t>Flávio</t>
        </is>
      </c>
      <c r="C24" s="21" t="inlineStr">
        <is>
          <t>00:53</t>
        </is>
      </c>
      <c r="D24" s="21" t="inlineStr">
        <is>
          <t>O governo Lula tem recorde de mulheres assassinadas e aumento da violência contra mulheres.</t>
        </is>
      </c>
      <c r="E24" s="22" t="inlineStr">
        <is>
          <t>Verdadeiro, mas impreciso</t>
        </is>
      </c>
      <c r="F24" s="21" t="inlineStr">
        <is>
          <t>O 20º Anuário Brasileiro de Segurança Pública registrou 1.571 feminicídios em 2025, contra 1.504 em 2024 (+4%), o maior número desde a tipificação do crime em 2015. O aumento da violência contra a mulher também se confirma: tentativas de feminicídio (+6%), agressões por violência doméstica (+2,6%), violência psicológica (+17%), descumprimento de medidas protetivas (+17%), stalking (+30%) e ameaças (+0,5%). A imprecisão está na expressão "mulheres assassinadas". O recorde comprovado é de feminicídios, e não do total de assassinatos de mulheres. Esse total não aparece nas fontes consultadas; a CNN Brasil informa apenas que 44,4% das mulheres assassinadas em 2025 morreram por razões de gênero. No mesmo período, as mortes violentas intencionais em geral caíram 8% (de 44.126 para 40.775).</t>
        </is>
      </c>
      <c r="G24" s="21" t="inlineStr">
        <is>
          <t>Média</t>
        </is>
      </c>
      <c r="H24" s="21" t="inlineStr">
        <is>
          <t>Verdadeiro, mas impreciso</t>
        </is>
      </c>
      <c r="I24" s="21" t="inlineStr">
        <is>
          <t>Sim</t>
        </is>
      </c>
      <c r="J24" s="21" t="inlineStr">
        <is>
          <t>REAVALIADO SEM FONTES ENVIESADAS. O veredito foi mantido. Saiu da explicação a queda de 5,5% no total de homicídios de mulheres, que não aparece em nenhuma fonte permitida (vinha provavelmente da CartaCapital ou do Vermelho). No lugar entraram a proporção de 44,4% (CNN Brasil) e a queda de 8% nas mortes violentas (Correio da Manhã). A confiança caiu para Média porque a imprecisão ficou menos quantificada. Revisor: O revisor conferiu as três fontes, e todos os números citados batem. A remoção do dado de -5,5% foi correta. Não sobrou nenhum dado vindo de fonte excluída.</t>
        </is>
      </c>
      <c r="K24" s="21" t="inlineStr">
        <is>
          <t>https://www.correiobraziliense.com.br/brasil/2026/07/amp/7467099-feminicidios-batem-recorde-em-2025-mostra-anuario-da-seguranca.html
https://www.correiodamanha.com.br/nacional/brasil/2026/07/304588-feminicidios-atingem-recorde-no-brasil-enquanto-homicidios-recuam.html
https://www.cnnbrasil.com.br/nacional/brasil/brasil-bate-recorde-de-feminicidios-pelo-quarto-ano-seguido/</t>
        </is>
      </c>
    </row>
    <row r="25">
      <c r="A25" s="21" t="inlineStr">
        <is>
          <t>F24</t>
        </is>
      </c>
      <c r="B25" s="21" t="inlineStr">
        <is>
          <t>Flávio</t>
        </is>
      </c>
      <c r="C25" s="21" t="inlineStr">
        <is>
          <t>00:53</t>
        </is>
      </c>
      <c r="D25" s="21" t="inlineStr">
        <is>
          <t>São mais de 80 milhões de brasileiros com contas em atraso (inadimplentes).</t>
        </is>
      </c>
      <c r="E25" s="24" t="inlineStr">
        <is>
          <t>Verdadeiro</t>
        </is>
      </c>
      <c r="F25" s="21" t="inlineStr">
        <is>
          <t>O Mapa da Inadimplência da Serasa registrou 82,8 milhões de inadimplentes em março de 2026. A pesquisa original cita 83,9 milhões em julho. Os dois valores passam de 80 milhões.</t>
        </is>
      </c>
      <c r="G25" s="21" t="inlineStr">
        <is>
          <t>Alta</t>
        </is>
      </c>
      <c r="H25" s="21" t="inlineStr">
        <is>
          <t>Verdadeiro</t>
        </is>
      </c>
      <c r="I25" s="21" t="inlineStr">
        <is>
          <t>Sim</t>
        </is>
      </c>
      <c r="J25" s="21" t="inlineStr">
        <is>
          <t>Confirmei os 82,8 milhões de março pela matéria do DGABC. O número de julho (83,9 milhões) vem do site da própria Serasa, que é uma empresa e não é dado oficial nem portal jornalístico, e não consegui confirmá-lo de forma independente. Mesmo assim, o veredito se mantém.</t>
        </is>
      </c>
      <c r="K25" s="21" t="inlineStr">
        <is>
          <t>https://www.dgabc.com.br/Noticia/4317691/inadimplencia-bate-82-8-milhoes-de-brasileiros-em-marco-segundo-serasa
https://www.serasa.com.br/imprensa/inadimplencia-segundo-semestre-serasa/
https://jornalgrandebahia.com.br/2026/03/inadimplencia-no-brasil-atinge-817-milhoes-e-cresce-38-em-uma-decada-aponta-serasa/</t>
        </is>
      </c>
    </row>
    <row r="26">
      <c r="A26" s="21" t="inlineStr">
        <is>
          <t>F25</t>
        </is>
      </c>
      <c r="B26" s="21" t="inlineStr">
        <is>
          <t>Flávio</t>
        </is>
      </c>
      <c r="C26" s="21" t="inlineStr">
        <is>
          <t>00:55</t>
        </is>
      </c>
      <c r="D26" s="21" t="inlineStr">
        <is>
          <t>Tarcísio, Ricardo Nunes e Derrite acabaram com a Cracolândia em São Paulo.</t>
        </is>
      </c>
      <c r="E26" s="23" t="inlineStr">
        <is>
          <t>Exagerado</t>
        </is>
      </c>
      <c r="F26" s="21" t="inlineStr">
        <is>
          <t>Em maio de 2025, a Rua dos Protestantes, onde ficava a principal concentração de usuários, amanheceu vazia (B News SP, 15/05/2025). Em novembro de 2025, Tarcísio escreveu que 'a cracolândia acabou'. Segundo o Jornal de Brasília, que reproduz a Folhapress (19/11/2025), outras aglomerações de usuários surgiram no centro depois disso. O próprio Ricardo Nunes admitiu: 'Não dá para dizer que a gente resolveu todo o problema'. A reportagem lembra ainda que as dispersões de 2012 e 2022 apenas criaram 'minicracolândias' em outros pontos. A queda foi real, mas dizer que eles 'acabaram' com a Cracolândia exagera. Nenhuma das fontes consultadas cita declaração de Derrite.</t>
        </is>
      </c>
      <c r="G26" s="21" t="inlineStr">
        <is>
          <t>Alta</t>
        </is>
      </c>
      <c r="H26" s="21" t="inlineStr">
        <is>
          <t>Exagerado</t>
        </is>
      </c>
      <c r="I26" s="21" t="inlineStr">
        <is>
          <t>Sim</t>
        </is>
      </c>
      <c r="J26" s="21" t="inlineStr">
        <is>
          <t>REAVALIADO SEM FONTES ENVIESADAS. Saíram a fonte Brasil de Fato e a menção a uma declaração de Derrite. O veredito se mantém com as fontes OK. Revisor: Abri as três fontes OK e elas confirmam o que o outro agente afirma. O texto sobre 2012 e 2022 aparece na matéria da B News de 14 e 15/05, não na do Jornal de Brasília, mas isso não muda o veredito. Não sobrou nenhum dado que dependa de fonte excluída.</t>
        </is>
      </c>
      <c r="K26" s="21" t="inlineStr">
        <is>
          <t>https://www.bnewssaopaulo.com.br/noticias/policia/fim-da-cracolandia-veja-o-que-diz-ricardo-nunes-sobre-o-avanco.html
https://www.bnewssaopaulo.com.br/noticias/politica/fim-cracolandia-esvaziamento-repentino-levanta-questionamento-sp.html
https://jornaldebrasilia.com.br/noticias/politica-e-poder/vice-de-nunes-cotado-para-2026-ataca-tarcisio-e-prefeito-por-fatura-politica-com-cracolandia/</t>
        </is>
      </c>
    </row>
    <row r="27">
      <c r="A27" s="21" t="inlineStr">
        <is>
          <t>F26</t>
        </is>
      </c>
      <c r="B27" s="21" t="inlineStr">
        <is>
          <t>Flávio</t>
        </is>
      </c>
      <c r="C27" s="21" t="inlineStr">
        <is>
          <t>00:57</t>
        </is>
      </c>
      <c r="D27" s="21" t="inlineStr">
        <is>
          <t>A dívida pública é de cerca de R$ 11 trilhões e a taxa básica de juros (Selic) está em torno de 14%.</t>
        </is>
      </c>
      <c r="E27" s="24" t="inlineStr">
        <is>
          <t>Verdadeiro</t>
        </is>
      </c>
      <c r="F27" s="21" t="inlineStr">
        <is>
          <t>Segundo o Banco Central, a dívida bruta do governo geral chegou a R$ 11,1 trilhões (82,9% do PIB) em agosto de 2026, o maior nível em relação ao PIB desde março de 2021. A Selic está em 13,75% ao ano, segundo a série oficial do Banco Central. As duas falas estão corretas.</t>
        </is>
      </c>
      <c r="G27" s="21" t="inlineStr">
        <is>
          <t>Alta</t>
        </is>
      </c>
      <c r="H27" s="21" t="inlineStr">
        <is>
          <t>Verdadeiro</t>
        </is>
      </c>
      <c r="I27" s="21" t="inlineStr">
        <is>
          <t>Sim</t>
        </is>
      </c>
      <c r="J27" s="21" t="inlineStr">
        <is>
          <t>Confirmei a dívida pelo Poder360, que cita o Banco Central, e a Selic de 13,75% direto na série oficial do Banco Central. Troquei a fonte atlaspublico.com.br, cuja natureza não está clara, pela série oficial do Banco Central.</t>
        </is>
      </c>
      <c r="K27" s="21" t="inlineStr">
        <is>
          <t>https://www.poder360.com.br/poder-economia/divida-bruta-atinge-829-do-pib-em-agosto-diz-banco-central/
https://api.bcb.gov.br/dados/serie/bcdata.sgs.432/dados/ultimos/5?formato=json
https://www.tribunapr.com.br/noticias/economia/divida-publica-brasileira-atinge-r-111-trilhoes-em-agosto-de-2026/
https://www.moneytimes.com.br/divida-bruta-do-brasil-sobe-a-829-do-pib-em-agosto/</t>
        </is>
      </c>
    </row>
    <row r="28">
      <c r="A28" s="21" t="inlineStr">
        <is>
          <t>F27</t>
        </is>
      </c>
      <c r="B28" s="21" t="inlineStr">
        <is>
          <t>Flávio</t>
        </is>
      </c>
      <c r="C28" s="21" t="inlineStr">
        <is>
          <t>00:59</t>
        </is>
      </c>
      <c r="D28" s="21" t="inlineStr">
        <is>
          <t>Em outubro de 2022, a previsão era de que hoje a Selic estaria em torno de 7% se Bolsonaro continuasse.</t>
        </is>
      </c>
      <c r="E28" s="22" t="inlineStr">
        <is>
          <t>Verdadeiro, mas impreciso</t>
        </is>
      </c>
      <c r="F28" s="21" t="inlineStr">
        <is>
          <t>Consultei a API oficial de expectativas do Banco Central (Focus, Olinda) para 28/10/2022, dois dias antes do 2º turno de 2022. A mediana do mercado para a Selic no fim de cada ano era: 13,75% em 2022, 11,25% em 2023, 8,00% em 2024, 7,75% em 2025 e 7,75% em 2026. Ao contrário do que disse o agente anterior, havia sim projeção para 2026, e ela era de 7,75%. A frase 'em torno de 7%' arredonda para baixo, mas está próxima do dado. A Selic de fato em 2026 ficou muito acima: 14,50% em junho de 2026, segundo o Poder360, e cerca de 13,75% nos dados mais recentes da série SGS do BCB. A imprecisão principal está no condicionante 'se Bolsonaro continuasse'. O Focus era a expectativa geral do mercado antes da eleição, quando o resultado ainda era incerto, e não um cenário ligado à reeleição de Bolsonaro.</t>
        </is>
      </c>
      <c r="G28" s="21" t="inlineStr">
        <is>
          <t>Alta</t>
        </is>
      </c>
      <c r="H28" s="21" t="inlineStr">
        <is>
          <t>Verdadeiro, mas impreciso</t>
        </is>
      </c>
      <c r="I28" s="21" t="inlineStr">
        <is>
          <t>Sim</t>
        </is>
      </c>
      <c r="J28" s="21" t="inlineStr">
        <is>
          <t>RECHECADO (2ª rodada). Concordo com o veredito, mas corrijo um ponto do agente anterior: o Focus de 28/10/2022 trazia projeção para 2026 (mediana de 7,75%), conforme a API oficial do BCB. Isso deixa a fala de Flávio mais próxima do dado do que o agente indicou. A ressalva de que a projeção não estava condicionada à vitória de Bolsonaro continua válida. Não consegui extrair o texto do PDF localmente, por falta de ferramentas; os números vêm da API oficial.</t>
        </is>
      </c>
      <c r="K28" s="21" t="inlineStr">
        <is>
          <t>https://olinda.bcb.gov.br/olinda/servico/Expectativas/versao/v1/odata/ExpectativasMercadoAnuais?$top=20&amp;$filter=Indicador%20eq%20'Selic'%20and%20Data%20eq%20'2022-10-28'&amp;$format=json
https://www.bcb.gov.br/content/focus/focus/R20221028.pdf
https://www.poder360.com.br/poder-economia/mercado-eleva-projecao-da-selic-para-135-em-2026/
https://api.bcb.gov.br/dados/serie/bcdata.sgs.432/dados/ultimos/3?formato=json</t>
        </is>
      </c>
    </row>
    <row r="29">
      <c r="A29" s="21" t="inlineStr">
        <is>
          <t>F28</t>
        </is>
      </c>
      <c r="B29" s="21" t="inlineStr">
        <is>
          <t>Flávio</t>
        </is>
      </c>
      <c r="C29" s="21" t="inlineStr">
        <is>
          <t>00:59</t>
        </is>
      </c>
      <c r="D29" s="21" t="inlineStr">
        <is>
          <t>Os juros da dívida pública custam quase R$ 1 trilhão por ano.</t>
        </is>
      </c>
      <c r="E29" s="22" t="inlineStr">
        <is>
          <t>Verdadeiro, mas impreciso</t>
        </is>
      </c>
      <c r="F29" s="21" t="inlineStr">
        <is>
          <t>Pelo Banco Central, os juros nominais do setor público somaram R$ 1,16 trilhão (8,80% do PIB) nos 12 meses até junho de 2026 e R$ 1,18 trilhão (8,86% do PIB) nos 12 meses até agosto. A ordem de grandeza está certa, mas o custo já passa de R$ 1 trilhão. Dizer 'quase' R$ 1 trilhão subestima o valor.</t>
        </is>
      </c>
      <c r="G29" s="21" t="inlineStr">
        <is>
          <t>Alta</t>
        </is>
      </c>
      <c r="H29" s="21" t="inlineStr">
        <is>
          <t>Verdadeiro, mas impreciso</t>
        </is>
      </c>
      <c r="I29" s="21" t="inlineStr">
        <is>
          <t>Sim</t>
        </is>
      </c>
      <c r="J29" s="21" t="inlineStr">
        <is>
          <t>Confirmei o valor de junho pelo O Povo e atualizei com o número de agosto (R$ 1,18 trilhão) pelo Poder360. Descartei a coluna do ohoje.com, que é texto de opinião.</t>
        </is>
      </c>
      <c r="K29" s="21" t="inlineStr">
        <is>
          <t>https://www.poder360.com.br/poder-economia/divida-bruta-atinge-829-do-pib-em-agosto-diz-banco-central/
https://www.opovo.com.br/noticias/economia/2026/07/31/deficit-do-setor-publico-sobe-para-rs-553-bilhoes-em-junho.html
https://borainvestir.b3.com.br/noticias/deficit-do-setor-publico-sobe-para-r-553-bilhoes-em-junho/
https://ohoje.com/coluna/rombo-causado-pelos-juros-ja-supera-um-trilhao-de-reais/</t>
        </is>
      </c>
    </row>
    <row r="30">
      <c r="A30" s="21" t="inlineStr">
        <is>
          <t>F29</t>
        </is>
      </c>
      <c r="B30" s="21" t="inlineStr">
        <is>
          <t>Flávio</t>
        </is>
      </c>
      <c r="C30" s="21" t="inlineStr">
        <is>
          <t>00:59</t>
        </is>
      </c>
      <c r="D30" s="21" t="inlineStr">
        <is>
          <t>Após o 1º turno, com Flávio à frente nas pesquisas do 2º turno, a taxa de juros futuros caiu cerca de 2 pontos.</t>
        </is>
      </c>
      <c r="E30" s="23" t="inlineStr">
        <is>
          <t>Exagerado</t>
        </is>
      </c>
      <c r="F30" s="21" t="inlineStr">
        <is>
          <t>Os juros futuros caíram de fato depois do 1º turno, e o mercado associou o movimento ao 'trade eleitoral' a favor de Flávio. O DI para janeiro de 2029 foi de cerca de 13,7% antes da eleição para 12,22% em 9/10, uma queda de no máximo 1,5 ponto. Houve repique em 13/10 (12,22% para 12,50%) e a taxa estava em 12,58% em 20/10. A queda acumulada fica entre 1 e 1,5 ponto, não 2, e teve outros fatores: leilão do Tesouro, Treasuries e petróleo.</t>
        </is>
      </c>
      <c r="G30" s="21" t="inlineStr">
        <is>
          <t>Média</t>
        </is>
      </c>
      <c r="H30" s="21" t="inlineStr">
        <is>
          <t>Exagerado</t>
        </is>
      </c>
      <c r="I30" s="21" t="inlineStr">
        <is>
          <t>Sim</t>
        </is>
      </c>
      <c r="J30" s="21" t="inlineStr">
        <is>
          <t>Concordo com o veredito. Conferi as matérias do Money Times de 6/10 e 8/10: há queda, mas o próprio texto cita outros fatores. A matéria do DGABC de 13/10 mostra que parte do rali se reverteu. Corrigi a estimativa: o ganho máximo foi de cerca de 1,5 ponto e encolheu depois. Não acessei a matéria do Canal Rural (erro 403).</t>
        </is>
      </c>
      <c r="K30" s="21" t="inlineStr">
        <is>
          <t>https://www.moneytimes.com.br/juros-futuros-6-10-26-apsa/
https://www.moneytimes.com.br/juros-futuros-8-10-26-apsa/
https://www.moneytimes.com.br/juros-futuros-9-10-26-apsa/
https://www.dgabc.com.br/Noticia/4352530/taxas-de-juros-tem-firme-alta-na-sessao-com-menor-otimismo-sobre-vitoria-de-flavio</t>
        </is>
      </c>
    </row>
    <row r="31">
      <c r="A31" s="21" t="inlineStr">
        <is>
          <t>F30</t>
        </is>
      </c>
      <c r="B31" s="21" t="inlineStr">
        <is>
          <t>Flávio</t>
        </is>
      </c>
      <c r="C31" s="21" t="inlineStr">
        <is>
          <t>01:05</t>
        </is>
      </c>
      <c r="D31" s="21" t="inlineStr">
        <is>
          <t>Lula criou ou aumentou mais de 30 impostos.</t>
        </is>
      </c>
      <c r="E31" s="23" t="inlineStr">
        <is>
          <t>Exagerado</t>
        </is>
      </c>
      <c r="F31" s="21" t="inlineStr">
        <is>
          <t>O Poder360 (09/10/2025) diz que o governo aumentou impostos 'ao menos 27 vezes desde 2023'. Essa conta só inclui tributos relevantes que elevaram a arrecadação de forma consistente. A Exame (17/06/2025) chega a 'ao menos 37', mas a lista mistura coisas diferentes: oito itens tratam da mesma MP 1.303, e entram medidas revogadas (a 'taxa das blusinhas' e o decreto do IOF), propostas não aprovadas (CSLL/JCP, dividendos) e até a defesa de Haddad da taxação de super-ricos no G20. Tirando esses itens, o total também fica abaixo de 30. Além disso, a frase fala em 'impostos', mas são medidas, e muitas apenas trazem de volta tributos que estavam zerados ou mudam regimes e benefícios. O número de impostos distintos criados ou aumentados é bem menor que 30. Houve muitos aumentos de tributos, mas 'mais de 30 impostos' exagera o que as fontes permitidas mostram.</t>
        </is>
      </c>
      <c r="G31" s="21" t="inlineStr">
        <is>
          <t>Média</t>
        </is>
      </c>
      <c r="H31" s="21" t="inlineStr">
        <is>
          <t>Verdadeiro, mas impreciso</t>
        </is>
      </c>
      <c r="I31" s="21" t="inlineStr">
        <is>
          <t>Não</t>
        </is>
      </c>
      <c r="J31" s="21" t="inlineStr">
        <is>
          <t>REAVALIADO SEM FONTES ENVIESADAS. O veredito passou de 'Verdadeiro, mas impreciso' para 'Exagerado'. Os 37 da Exame dependem de itens repetidos, revogados ou não aprovados. A fonte Portal de Prefeitura (24 medidas) também saiu, porque apenas repassava a Gazeta. Revisor: As fontes do outro agente são permitidas e dizem o que ele afirma. A conclusão dele, porém, não bate com o veredito: ele mesmo escreveu que pela contagem estrita o total fica abaixo de 30 e que 'mais de 30' só vale se entrarem propostas. Abri a Exame e confirmei que a lista inclui oito itens da mesma MP, além de medidas revogadas, não aprovadas e uma declaração no G20. Por isso mudei o veredito para Exagerado e mantive a confiança Média, já que o Poder360 deixa de fora alguns ajustes pontuais de importação e exportação.</t>
        </is>
      </c>
      <c r="K31" s="21" t="inlineStr">
        <is>
          <t>https://www.poder360.com.br/poder-governo/lula-aumentou-impostos-27-vezes-em-3-anos-no-planalto/
https://exame.com/economia/com-mp-dos-impostos-governo-lula-adotou-ao-menos-37-medidas-para-elevar-arrecadacao-desde-2023/</t>
        </is>
      </c>
    </row>
    <row r="32">
      <c r="A32" s="21" t="inlineStr">
        <is>
          <t>F31</t>
        </is>
      </c>
      <c r="B32" s="21" t="inlineStr">
        <is>
          <t>Flávio</t>
        </is>
      </c>
      <c r="C32" s="21" t="inlineStr">
        <is>
          <t>01:06</t>
        </is>
      </c>
      <c r="D32" s="21" t="inlineStr">
        <is>
          <t>Lula, como deputado constituinte, votou contra a Constituição de 1988, que criou o SUS.</t>
        </is>
      </c>
      <c r="E32" s="24" t="inlineStr">
        <is>
          <t>Verdadeiro</t>
        </is>
      </c>
      <c r="F32" s="21" t="inlineStr">
        <is>
          <t>Segundo a Arpen-SP, em 22/09/1988 Lula, então deputado constituinte e líder do PT, anunciou que o partido votaria contra a redação final da Constituição. Para ele, o texto mantinha intactas 'a essência da propriedade privada' e o poder dos militares. O Poder360 confirma o discurso ('O Partido dos Trabalhadores vota contra o texto'), registrado no Diário da Constituinte de 23/09/1988. Confirma também que o PT assinou a Carta como 'cumprimento formal' de sua participação. O SUS foi criado por essa Constituição. O voto contrário, porém, não mirava o SUS. Lula reconheceu avanços na ordem social e nos direitos trabalhistas, mas os achou insuficientes, como a jornada de 44 horas em vez das 40 que o PT queria.</t>
        </is>
      </c>
      <c r="G32" s="21" t="inlineStr">
        <is>
          <t>Alta</t>
        </is>
      </c>
      <c r="H32" s="21" t="inlineStr">
        <is>
          <t>Verdadeiro</t>
        </is>
      </c>
      <c r="I32" s="21" t="inlineStr">
        <is>
          <t>Sim</t>
        </is>
      </c>
      <c r="J32" s="21" t="inlineStr">
        <is>
          <t>REAVALIADO SEM FONTES ENVIESADAS. Saíram a Fundação Perseu Abramo e a menção a votos favoráveis em dispositivos específicos. O veredito se mantém com o Poder360 e a Arpen-SP. Revisor: Abri as duas fontes e elas confirmam o voto contrário e a expressão 'cumprimento formal'. A data de 22/09 e a 'propriedade privada' vêm da Arpen-SP, não do Poder360, e ajustei a atribuição. Não sobrou nenhum dado que dependa de fonte excluída.</t>
        </is>
      </c>
      <c r="K32" s="21" t="inlineStr">
        <is>
          <t>https://www.poder360.com.br/governo/lula-diz-que-constituicao-garante-direitos-e-cobra-sua-protecao/
https://arpensp.org.br/noticia/7886</t>
        </is>
      </c>
    </row>
    <row r="33">
      <c r="A33" s="21" t="inlineStr">
        <is>
          <t>F32</t>
        </is>
      </c>
      <c r="B33" s="21" t="inlineStr">
        <is>
          <t>Flávio</t>
        </is>
      </c>
      <c r="C33" s="21" t="inlineStr">
        <is>
          <t>01:09</t>
        </is>
      </c>
      <c r="D33" s="21" t="inlineStr">
        <is>
          <t>A espera por cirurgia de câncer de tireoide no SUS ultrapassou 700 dias.</t>
        </is>
      </c>
      <c r="E33" s="24" t="inlineStr">
        <is>
          <t>Verdadeiro</t>
        </is>
      </c>
      <c r="F33" s="21" t="inlineStr">
        <is>
          <t>Uma auditoria do TCU noticiada pela Folhapress em 23/07/2026 aponta espera média de 719 dias pela tireoidectomia no SUS em 2025. A série oscila muito: 1.121 dias em 2022, 421 em 2023, 75 em 2024 e 719 em 2025. O TCU diz que não há 'tendência definida de melhora'.</t>
        </is>
      </c>
      <c r="G33" s="21" t="inlineStr">
        <is>
          <t>Alta</t>
        </is>
      </c>
      <c r="H33" s="21" t="inlineStr">
        <is>
          <t>Verdadeiro</t>
        </is>
      </c>
      <c r="I33" s="21" t="inlineStr">
        <is>
          <t>Sim</t>
        </is>
      </c>
      <c r="J33" s="21" t="inlineStr">
        <is>
          <t>Concordo. Abri a matéria e conferi os números e a data. Um contexto que vale registrar: o pior número da série (1.121 dias) é de 2022, no governo anterior, e em 2024 a espera foi de 75 dias.</t>
        </is>
      </c>
      <c r="K33" s="21" t="inlineStr">
        <is>
          <t>https://jornaldebrasilia.com.br/noticias/saude/aumenta-espera-por-cirurgia-de-cancer-no-sus-aponta-tcu/</t>
        </is>
      </c>
    </row>
    <row r="34">
      <c r="A34" s="21" t="inlineStr">
        <is>
          <t>F33</t>
        </is>
      </c>
      <c r="B34" s="21" t="inlineStr">
        <is>
          <t>Flávio</t>
        </is>
      </c>
      <c r="C34" s="21" t="inlineStr">
        <is>
          <t>01:09</t>
        </is>
      </c>
      <c r="D34" s="21" t="inlineStr">
        <is>
          <t>A tabela SUS paga R$ 10 por consulta médica e R$ 443 por parto, e não foi atualizada pelo governo Lula.</t>
        </is>
      </c>
      <c r="E34" s="22" t="inlineStr">
        <is>
          <t>Verdadeiro, mas impreciso</t>
        </is>
      </c>
      <c r="F34" s="21" t="inlineStr">
        <is>
          <t>Os valores de R$ 10 pela consulta especializada e cerca de R$ 443 pelo parto normal correspondem à tabela SUS federal, defasada há anos. Lula, porém, sancionou a Lei 14.820/2024, que prevê revisão anual da remuneração 'observada a disponibilidade orçamentária', e o Ministério fez reajustes pontuais e programas por pacote. A defasagem atravessa vários governos e não é exclusiva da gestão Lula.</t>
        </is>
      </c>
      <c r="G34" s="21" t="inlineStr">
        <is>
          <t>Média</t>
        </is>
      </c>
      <c r="H34" s="21" t="inlineStr">
        <is>
          <t>Verdadeiro, mas impreciso</t>
        </is>
      </c>
      <c r="I34" s="21" t="inlineStr">
        <is>
          <t>Sim</t>
        </is>
      </c>
      <c r="J34" s="21" t="inlineStr">
        <is>
          <t>Concordo. Confirmei no Senado o teor da Lei 14.820/2024; a matéria não traz os valores de R$ 10 e R$ 443. Não consegui conferir de forma independente se esses dois valores específicos seguem sem reajuste em 2026, porque o limite de buscas acabou. O Futuro da Saúde, citado pelo outro agente, é um portal setorial.</t>
        </is>
      </c>
      <c r="K34" s="21" t="inlineStr">
        <is>
          <t>https://www12.senado.leg.br/noticias/materias/2024/01/17/sancionada-lei-que-estabelece-reajuste-anual-da-tabela-do-sus
https://www.campograndenews.com.br/politica/defasada-desde-2013-lula-sanciona-lei-que-garante-reajuste-anual-na-tabela-sus
https://futurodasaude.com.br/?p=21331
https://futurodasaude.com.br/?p=25281</t>
        </is>
      </c>
    </row>
    <row r="35">
      <c r="A35" s="21" t="inlineStr">
        <is>
          <t>F34</t>
        </is>
      </c>
      <c r="B35" s="21" t="inlineStr">
        <is>
          <t>Flávio</t>
        </is>
      </c>
      <c r="C35" s="21" t="inlineStr">
        <is>
          <t>01:10</t>
        </is>
      </c>
      <c r="D35" s="21" t="inlineStr">
        <is>
          <t>Tarcísio criou a 'Tabela SUS Paulista' em São Paulo e com isso reduziu muito as filas.</t>
        </is>
      </c>
      <c r="E35" s="22" t="inlineStr">
        <is>
          <t>Verdadeiro, mas impreciso</t>
        </is>
      </c>
      <c r="F35" s="21" t="inlineStr">
        <is>
          <t>A Tabela SUS Paulista existe. É uma iniciativa do governo Tarcísio que desde 2024 complementa os valores federais pagos aos hospitais e já somou quase R$ 9 bilhões (Folhapress, publicada pelo Acessa). A Agência SP, do governo estadual, informa recorde de 1,3 milhão de cirurgias eletivas em 2025. O secretário Eleuses Paiva atribui à tabela e à ampliação de leitos a redução das filas. A reportagem da Folhapress registra 1,25 milhão de cirurgias e traz dados do Ministério da Saúde: entre 2022 e 2025, as eletivas cresceram 32% em SP, abaixo da média nacional de 42%, e outros estados cresceram mais. Segundo números de 2025 citados no mesmo texto, cerca de 60% do complemento veio de recursos federais. A Secretaria de Saúde não informou o tamanho da fila estadual nem o impacto da tabela sobre ela. No debate, segundo o DGABC, Haddad citou 32% contra 48% (dado atribuído ao TCU), número que difere dos 42% do ministério. Conclusão: a tabela existe e a produção cirúrgica cresceu. Já a afirmação de que ela 'reduziu muito as filas' se apoia só em declarações da própria gestão, sem número de fila divulgado, e o crescimento ficou abaixo da média nacional.</t>
        </is>
      </c>
      <c r="G35" s="21" t="inlineStr">
        <is>
          <t>Média</t>
        </is>
      </c>
      <c r="H35" s="21" t="inlineStr">
        <is>
          <t>Verdadeiro, mas impreciso</t>
        </is>
      </c>
      <c r="I35" s="21" t="inlineStr">
        <is>
          <t>Sim</t>
        </is>
      </c>
      <c r="J35" s="21" t="inlineStr">
        <is>
          <t>REAVALIADO SEM FONTES ENVIESADAS. Veredito mantido. Saiu o dado da Jovem Pan, que é fonte excluída. O recorde de cirurgias agora vem da Agência SP, e a comparação com o resto do país vem da Folhapress, com números do Ministério da Saúde: 32% em SP contra 42% no país. O texto também registra a divergência com os 48% citados por Haddad. Revisor: Abri as quatro fontes, e todas são permitidas e confirmam o que o outro agente escreveu. Fiz uma correção pequena. A participação federal de cerca de 60% a 61% vem de dados do governo estadual citados na matéria, e não do Ministério da Saúde, como dizia o texto do agente. A coluna do Correio da Manhã só menciona a tabela de passagem, então serve apenas de contexto. O texto não usa nenhum dado que tenha vindo só de fonte excluída.</t>
        </is>
      </c>
      <c r="K35" s="21" t="inlineStr">
        <is>
          <t>https://www.acessa.com/noticias/2026/03/317594-tabela-sus-paulista-reforca-caixa-dos-hospitais-e-eleva-atendimentos-mas-impacto-e-incerto.html
https://www.agenciasp.sp.gov.br/sp-realiza-13-milhao-de-cirurgias-eletivas-em-2025-maior-numero-da-historia-do-sus-paulista/
https://www.dgabc.com.br/Noticia/4340242/tarcisio-defende-que-ampliou-quantidade-de-leitos-hospitalares-e-cirurgias-em-sp
https://www.correiodamanha.com.br/nacional/sao-paulo/campinas/2026/06/298074-sus-de-campinas-baixa-e-tarcisio-prove-band-aid-para-estancar-hemorragia.html</t>
        </is>
      </c>
    </row>
    <row r="36">
      <c r="A36" s="21" t="inlineStr">
        <is>
          <t>F35</t>
        </is>
      </c>
      <c r="B36" s="21" t="inlineStr">
        <is>
          <t>Flávio</t>
        </is>
      </c>
      <c r="C36" s="21" t="inlineStr">
        <is>
          <t>01:10</t>
        </is>
      </c>
      <c r="D36" s="21" t="inlineStr">
        <is>
          <t>Lula disse a frase 'se a comida está cara, não compra'.</t>
        </is>
      </c>
      <c r="E36" s="22" t="inlineStr">
        <is>
          <t>Verdadeiro, mas impreciso</t>
        </is>
      </c>
      <c r="F36" s="21" t="inlineStr">
        <is>
          <t>Em entrevista a rádios da Bahia, em fevereiro de 2025, Lula disse: 'Se você vai no supermercado e desconfia que tal produto está caro, você não compra'. Ele falava da alta dos alimentos e propunha que o consumidor pressionasse os preços para baixo. A versão de Flávio é uma paráfrase condensada, e o sentido geral está preservado.</t>
        </is>
      </c>
      <c r="G36" s="21" t="inlineStr">
        <is>
          <t>Alta</t>
        </is>
      </c>
      <c r="H36" s="21" t="inlineStr">
        <is>
          <t>Verdadeiro, mas impreciso</t>
        </is>
      </c>
      <c r="I36" s="21" t="inlineStr">
        <is>
          <t>Sim</t>
        </is>
      </c>
      <c r="J36" s="21" t="inlineStr">
        <is>
          <t>Concordo. Confirmei a frase literal na Folha de Pernambuco (texto da Agência O Globo, 7/2/2025). A fala existe, mas não foi exatamente 'se a comida está cara, não compra'.</t>
        </is>
      </c>
      <c r="K36" s="21" t="inlineStr">
        <is>
          <t>https://www.folhape.com.br/economia/lula-pede-acao-do-consumidor-contra-a-inflacao-se-o-produto-esta/390033/
https://www.correiobraziliense.com.br/politica/2025/02/7054723-lula-sugere-boicote-a-alimentos-caros-e-e-atacado-pela-oposicao.html
https://www.infomoney.com.br/?p=2754557</t>
        </is>
      </c>
    </row>
    <row r="37">
      <c r="A37" s="21" t="inlineStr">
        <is>
          <t>F36</t>
        </is>
      </c>
      <c r="B37" s="21" t="inlineStr">
        <is>
          <t>Flávio</t>
        </is>
      </c>
      <c r="C37" s="21" t="inlineStr">
        <is>
          <t>01:10</t>
        </is>
      </c>
      <c r="D37" s="21" t="inlineStr">
        <is>
          <t>Lula prometeu picanha (na campanha de 2022) e não entregou.</t>
        </is>
      </c>
      <c r="E37" s="22" t="inlineStr">
        <is>
          <t>Verdadeiro, mas impreciso</t>
        </is>
      </c>
      <c r="F37" s="21" t="inlineStr">
        <is>
          <t>Na campanha de 2022, Lula prometeu que o povo voltaria a comer picanha. Em valores nominais, o preço não caiu: pelo IPCA, a picanha subiu 7,8% de jan/2023 a ago/2026. Mas essa alta ficou abaixo da inflação acumulada no período (cerca de 18%), então o preço real caiu. Também ficou bem abaixo da alta do governo Bolsonaro (33,4% de jan/2020 a ago/2022). A promessa era vaga e não tinha meta medível.</t>
        </is>
      </c>
      <c r="G37" s="21" t="inlineStr">
        <is>
          <t>Média</t>
        </is>
      </c>
      <c r="H37" s="21" t="inlineStr">
        <is>
          <t>Verdadeiro, mas impreciso</t>
        </is>
      </c>
      <c r="I37" s="21" t="inlineStr">
        <is>
          <t>Sim</t>
        </is>
      </c>
      <c r="J37" s="21" t="inlineStr">
        <is>
          <t>Reli a matéria do Bem Paraná e os números conferem: 7,8% no governo Lula contra 33,4% e 38% no de Bolsonaro. A pesquisa original não disse que a alta ficou abaixo da inflação, ou seja, que a picanha ficou mais barata em termos reais. Isso enfraquece o 'não entregou', mas como o preço nominal subiu, mantive o veredito. Descartei a fonte do Diario de Pernambuco porque é uma pesquisa de opinião, não um dado de preço. O limite de buscas da sessão acabou, então só pude abrir diretamente as URLs já citadas.</t>
        </is>
      </c>
      <c r="K37" s="21" t="inlineStr">
        <is>
          <t>https://www.bemparana.com.br/noticias/economia/alta-da-picanha-no-governo-lula-e-menor-que-no-mandato-bolsonaro/
https://www.dgabc.com.br/Noticia/4210004/lula-diz-que-preco-da-carne-vai-baixar-e-que-populacao-vai-voltar-a-comer-picanha
https://www.diariodepernambuco.com.br/politica/2025/06/7793146-parana-pesquisas-50-dizem-que-picanha-ficou-mais-cara-no-governo-lula.html</t>
        </is>
      </c>
    </row>
    <row r="38">
      <c r="A38" s="21" t="inlineStr">
        <is>
          <t>F37</t>
        </is>
      </c>
      <c r="B38" s="21" t="inlineStr">
        <is>
          <t>Flávio</t>
        </is>
      </c>
      <c r="C38" s="21" t="inlineStr">
        <is>
          <t>01:13</t>
        </is>
      </c>
      <c r="D38" s="21" t="inlineStr">
        <is>
          <t>A Caixa tem mais de 11 milhões de contratos de financiamento imobiliário.</t>
        </is>
      </c>
      <c r="E38" s="23" t="inlineStr">
        <is>
          <t>Exagerado</t>
        </is>
      </c>
      <c r="F38" s="21" t="inlineStr">
        <is>
          <t>Nenhuma fonte oficial ou jornalística traz número atual de contratos perto de 11 milhões. Reportagens registram cerca de 5,76 milhões de contratos em 2021 e cerca de 6,6 a 6,9 milhões em 2024. Em 2025, a Caixa financiou mais de 873 mil imóveis, e a carteira habitacional passou de R$ 1 trilhão em 2026. A Caixa é de fato líder, com cerca de 68% do crédito imobiliário, mas o número de 11 milhões parece inflado.</t>
        </is>
      </c>
      <c r="G38" s="21" t="inlineStr">
        <is>
          <t>Média</t>
        </is>
      </c>
      <c r="H38" s="21" t="inlineStr">
        <is>
          <t>Exagerado</t>
        </is>
      </c>
      <c r="I38" s="21" t="inlineStr">
        <is>
          <t>Não</t>
        </is>
      </c>
      <c r="J38" s="21" t="inlineStr">
        <is>
          <t>RECHECADO (2ª rodada). Os agentes da 2ª rodada esgotaram o limite de buscas; a rechecagem foi concluída na verificação final, com buscas próprias em portais de notícias e dados oficiais.</t>
        </is>
      </c>
      <c r="K38" s="21" t="inlineStr">
        <is>
          <t>https://www.infomoney.com.br/?p=3397586
https://forbes.com.br/forbes-money/forbes-real-estate/2026/07/caixa-credito-imobiliario-trilhao/
https://www.seudinheiro.com/2021/empresas/caixa-bate-recorde-historico-com-credito-imobiliario-no-primeiro-semestre-do-ano
https://agenciagov.ebc.com.br/noticias/202309/caixa-registra-r-700-bi-em-carteira-de-credito-imobiliario</t>
        </is>
      </c>
    </row>
    <row r="39">
      <c r="A39" s="21" t="inlineStr">
        <is>
          <t>F38</t>
        </is>
      </c>
      <c r="B39" s="21" t="inlineStr">
        <is>
          <t>Flávio</t>
        </is>
      </c>
      <c r="C39" s="21" t="inlineStr">
        <is>
          <t>01:18</t>
        </is>
      </c>
      <c r="D39" s="21" t="inlineStr">
        <is>
          <t>O governo Lula zerou o orçamento federal para o ensino integral.</t>
        </is>
      </c>
      <c r="E39" s="23" t="inlineStr">
        <is>
          <t>Exagerado</t>
        </is>
      </c>
      <c r="F39" s="21" t="inlineStr">
        <is>
          <t>O Programa Escola em Tempo Integral foi criado pelo próprio governo Lula. Em julho de 2025, um levantamento da Folha, reproduzido pelo Portal de Prefeitura, mostrou que o governo pediu para remanejar R$ 685,9 milhões dos R$ 1,5 bilhão previstos na LOA para as escolas de tempo integral, a fim de pagar o Pé-de-Meia. É quase metade da verba. O remanejamento dependia de aprovação do Congresso. A execução era muito baixa: até então, só R$ 297 mil tinham sido pagos (0,02% do previsto). O MEC disse que o programa não seria prejudicado. Houve um corte relevante e a execução foi quase nula, mas nenhuma fonte permitida mostra o orçamento zerado.</t>
        </is>
      </c>
      <c r="G39" s="21" t="inlineStr">
        <is>
          <t>Média</t>
        </is>
      </c>
      <c r="H39" s="21" t="inlineStr">
        <is>
          <t>Exagerado</t>
        </is>
      </c>
      <c r="I39" s="21" t="inlineStr">
        <is>
          <t>Sim</t>
        </is>
      </c>
      <c r="J39" s="21" t="inlineStr">
        <is>
          <t>REAVALIADO SEM FONTES ENVIESADAS. Nada mudou. A Revista Oeste, que é fonte excluída, não sustentava nenhum dado essencial. Revisor: Abri a fonte, e ela confirma todos os números e afirmações: R$ 685,9 milhões de R$ 1,5 bilhão, R$ 297 mil pagos, a resposta do MEC e a dependência do Congresso. A matéria é de 9 de julho de 2025. O texto não usa nenhum dado que tenha vindo de fonte excluída.</t>
        </is>
      </c>
      <c r="K39" s="21" t="inlineStr">
        <is>
          <t>https://portaldeprefeitura.com.br/bastidores-da-politica/governo-lula-recursos-escola-integral-pagar-pe-de-meia/598700/</t>
        </is>
      </c>
    </row>
    <row r="40">
      <c r="A40" s="21" t="inlineStr">
        <is>
          <t>F39</t>
        </is>
      </c>
      <c r="B40" s="21" t="inlineStr">
        <is>
          <t>Flávio</t>
        </is>
      </c>
      <c r="C40" s="21" t="inlineStr">
        <is>
          <t>01:18</t>
        </is>
      </c>
      <c r="D40" s="21" t="inlineStr">
        <is>
          <t>Lula é 'o pai do tigrinho': ele criou/liberou o cassino online (bets) e, perto da eleição, cancelou.</t>
        </is>
      </c>
      <c r="E40" s="23" t="inlineStr">
        <is>
          <t>Exagerado</t>
        </is>
      </c>
      <c r="F40" s="21" t="inlineStr">
        <is>
          <t>As apostas de quota fixa foram legalizadas pela Lei 13.756/2018, no governo Temer. No governo Lula, a Lei 14.790/2023 as regulamentou e incluiu os jogos online, como os do tipo 'tigrinho'. Em 26/09/2026, cerca de nove dias antes do 1º turno, Lula assinou a MP 1.394, que suspende as apostas de quota fixa por 120 dias, extingue as autorizações e proíbe a publicidade. Lula não 'criou' as bets, mas liberou o cassino online e depois o proibiu perto da eleição.</t>
        </is>
      </c>
      <c r="G40" s="21" t="inlineStr">
        <is>
          <t>Média</t>
        </is>
      </c>
      <c r="H40" s="21" t="inlineStr">
        <is>
          <t>Exagerado</t>
        </is>
      </c>
      <c r="I40" s="21" t="inlineStr">
        <is>
          <t>Sim</t>
        </is>
      </c>
      <c r="J40" s="21" t="inlineStr">
        <is>
          <t>Confirmei pelo A Tarde a MP 1.394, a proibição por 120 dias e os sites fora do ar desde 6/10. A pesquisa original deu a data de 25/09, mas a matéria fala em anúncio na sexta, 26/09. Não consegui abrir a página da Lei 14.790 no Planalto (erro de conexão), mas a inclusão dos jogos online nessa lei é amplamente documentada. Descartei a Forbes e o SBT como redundantes.</t>
        </is>
      </c>
      <c r="K40" s="21" t="inlineStr">
        <is>
          <t>https://www.planalto.gov.br/ccivil_03/_Ato2023-2026/2023/Lei/L14790.htm
https://atarde.com.br/economia/proibicao-das-bets-governo-diz-que-derrubou-10-mil-sites-ilegais-1404304
https://forbes.com.br/forbes-money/2026/09/governo-prepara-mp-para-proibir-bets-dizem-fontes/
https://sbtnews.sbt.com.br/noticia/politica/guimaraes-confirma-que-lula-prepara-mp-para-endurecer-bets</t>
        </is>
      </c>
    </row>
    <row r="41">
      <c r="A41" s="21" t="inlineStr">
        <is>
          <t>F40</t>
        </is>
      </c>
      <c r="B41" s="21" t="inlineStr">
        <is>
          <t>Flávio</t>
        </is>
      </c>
      <c r="C41" s="21" t="inlineStr">
        <is>
          <t>01:22</t>
        </is>
      </c>
      <c r="D41" s="21" t="inlineStr">
        <is>
          <t>No governo Bolsonaro foi anunciado perdão de quase 99% das dívidas do FIES e foi dado o maior reajuste da história do piso dos professores (33%).</t>
        </is>
      </c>
      <c r="E41" s="22" t="inlineStr">
        <is>
          <t>Verdadeiro, mas impreciso</t>
        </is>
      </c>
      <c r="F41" s="21" t="inlineStr">
        <is>
          <t>A MP 1.090/2021 virou lei em 2022 e deu descontos de até 99% nas dívidas do FIES. O desconto máximo vale só para inadimplentes inscritos no CadÚnico ou que receberam o auxílio emergencial; os demais tiveram descontos menores. Em fevereiro de 2022, o governo Bolsonaro homologou um reajuste de 33,23% a 33,24% no piso do magistério, de R$ 2.886 para R$ 3.845. Foi o maior desde a criação do piso, em 2009, mas resultou do critério automático da Lei 11.738/2008.</t>
        </is>
      </c>
      <c r="G41" s="21" t="inlineStr">
        <is>
          <t>Alta</t>
        </is>
      </c>
      <c r="H41" s="21" t="inlineStr">
        <is>
          <t>Verdadeiro, mas impreciso</t>
        </is>
      </c>
      <c r="I41" s="21" t="inlineStr">
        <is>
          <t>Sim</t>
        </is>
      </c>
      <c r="J41" s="21" t="inlineStr">
        <is>
          <t>Confirmei no Poder360 o percentual e que o reajuste veio da regra da Lei 11.738/2008. A CNM contestou essa regra e defendia corrigir pelo INPC, de 10,16%. Que foi o maior reajuste desde 2009 se conclui pela série histórica, já que o anterior mais alto foi de 22,22%, em 2012. O 'quase 99%' é o teto do desconto, não a regra geral.</t>
        </is>
      </c>
      <c r="K41" s="21" t="inlineStr">
        <is>
          <t>https://www.poder360.com.br/economia/bolsonaro-oficializa-reajuste-de-33-para-professores/
https://www.opovo.com.br/noticias/economia/2022/06/22/refinanciamento-do-fies-com-ate-99-de-desconto-vira-lei-entenda-quem-tem-direito.html
https://www.congressoemfoco.com.br/noticia/11823/senado-vota-renegociacao-de-dividas-do-fies
https://www.poder360.com.br/governo/bolsonaro-anuncia-reajuste-de-33-para-piso-de-professores/</t>
        </is>
      </c>
    </row>
    <row r="42">
      <c r="A42" s="21" t="inlineStr">
        <is>
          <t>F41</t>
        </is>
      </c>
      <c r="B42" s="21" t="inlineStr">
        <is>
          <t>Flávio</t>
        </is>
      </c>
      <c r="C42" s="21" t="inlineStr">
        <is>
          <t>01:22</t>
        </is>
      </c>
      <c r="D42" s="21" t="inlineStr">
        <is>
          <t>Mais de 1 milhão de crianças não têm vaga em creche.</t>
        </is>
      </c>
      <c r="E42" s="22" t="inlineStr">
        <is>
          <t>Verdadeiro, mas impreciso</t>
        </is>
      </c>
      <c r="F42" s="21" t="inlineStr">
        <is>
          <t>O levantamento Retrato da Educação Infantil no Brasil 2025, do MEC e do Gaepe-Brasil, divulgado em fev/2026, registrou 826.371 crianças na fila de espera por creche, abaixo de 1 milhão. Por um critério mais amplo, com dados do IBGE, mais de 2 milhões de crianças de até 3 anos não frequentam creche por dificuldade de acesso. O déficit é real, e o número muda conforme o critério.</t>
        </is>
      </c>
      <c r="G42" s="21" t="inlineStr">
        <is>
          <t>Média</t>
        </is>
      </c>
      <c r="H42" s="21" t="inlineStr">
        <is>
          <t>Verdadeiro, mas impreciso</t>
        </is>
      </c>
      <c r="I42" s="21" t="inlineStr">
        <is>
          <t>Sim</t>
        </is>
      </c>
      <c r="J42" s="21" t="inlineStr">
        <is>
          <t>Confirmei o número exato (826.371), a fonte (MEC/Gaepe) e a data de publicação (27/02/2026). Mantive o veredito: pela fila formal o número está abaixo de 1 milhão, mas pelo critério do IBGE está acima.</t>
        </is>
      </c>
      <c r="K42" s="21" t="inlineStr">
        <is>
          <t>https://jornaldebrasilia.com.br/noticias/brasil/brasil-tem-826-mil-criancas-na-fila-de-espera-por-vaga-em-creche-mostra-levantamento/
https://jornaldebrasilia.com.br/noticias/brasil/mais-de-2-milhoes-de-criancas-no-pais-estao-sem-vagas-em-creches/
https://www.jornaldocomercio.com/geral/2024/08/1168929-brasil-tem-632-mil-criancas-na-fila-por-creche-mostra-levantamento.html</t>
        </is>
      </c>
    </row>
    <row r="43">
      <c r="A43" s="21" t="inlineStr">
        <is>
          <t>F42</t>
        </is>
      </c>
      <c r="B43" s="21" t="inlineStr">
        <is>
          <t>Flávio</t>
        </is>
      </c>
      <c r="C43" s="21" t="inlineStr">
        <is>
          <t>01:24</t>
        </is>
      </c>
      <c r="D43" s="21" t="inlineStr">
        <is>
          <t>A nota do Brasil no PISA é uma das piores da história com o atual governo.</t>
        </is>
      </c>
      <c r="E43" s="23" t="inlineStr">
        <is>
          <t>Exagerado</t>
        </is>
      </c>
      <c r="F43" s="21" t="inlineStr">
        <is>
          <t>No PISA 2025, o Brasil teve 408 pontos em leitura, 377 em matemática e 409 em ciências. O resultado ficou estável em relação a 2022, e ciências subiu de 403 para 409. A distância para a média da OCDE caiu desde 2006. Em matemática a nota está entre as mais baixas da série, mas leitura está no meio da série e ciências está entre as melhores. 'Uma das piores da história' não descreve bem o conjunto.</t>
        </is>
      </c>
      <c r="G43" s="21" t="inlineStr">
        <is>
          <t>Alta</t>
        </is>
      </c>
      <c r="H43" s="21" t="inlineStr">
        <is>
          <t>Exagerado</t>
        </is>
      </c>
      <c r="I43" s="21" t="inlineStr">
        <is>
          <t>Sim</t>
        </is>
      </c>
      <c r="J43" s="21" t="inlineStr">
        <is>
          <t>Confirmei as notas, a estabilidade em relação a 2022 e a redução da distância para a OCDE pelo Correio da Manhã. A página da OCDE retornou erro 403. Acrescentei uma ressalva que a pesquisa original não fez: em matemática, os 377 pontos estão entre os mais baixos da série, empatados com 2015 e acima apenas de 2003 e 2006. Por isso a frase tem uma base parcial.</t>
        </is>
      </c>
      <c r="K43" s="21" t="inlineStr">
        <is>
          <t>https://www.correiodamanha.com.br/nacional/2026/09/317589-pisa-brasil-reduz-diferenca-para-paises-ricos-em-notas-escolares.html
https://static.poder360.com.br/uploads/2026/09/Resultados_Pisa_2025_Final.pdf
https://agenciagov.ebc.com.br/noticias/202312/divulgados-os-resultados-do-pisa-2022
https://www.oecd.org/pt/publications/resultdos-do-pisa-2025-volume-i_afb355f4-pt/brasil_c7e013c5-pt</t>
        </is>
      </c>
    </row>
    <row r="44">
      <c r="A44" s="21" t="inlineStr">
        <is>
          <t>F43</t>
        </is>
      </c>
      <c r="B44" s="21" t="inlineStr">
        <is>
          <t>Flávio</t>
        </is>
      </c>
      <c r="C44" s="21" t="inlineStr">
        <is>
          <t>01:24</t>
        </is>
      </c>
      <c r="D44" s="21" t="inlineStr">
        <is>
          <t>Lula é a favor de manter as saidinhas, contra a redução da maioridade penal e contra classificar CV, PCC e milícias como organizações terroristas.</t>
        </is>
      </c>
      <c r="E44" s="22" t="inlineStr">
        <is>
          <t>Verdadeiro, mas impreciso</t>
        </is>
      </c>
      <c r="F44" s="21" t="inlineStr">
        <is>
          <t>Lula vetou em 2024 o trecho que acabava com a saída temporária para visitar a família, e o Congresso derrubou o veto. O governo se opôs a enquadrar facções como terroristas e criticou a designação de PCC e CV pelos EUA. Lula é publicamente contra a redução da maioridade penal. A frase resume isso bem, mas simplifica: o veto foi parcial e a lei antifacção foi sancionada por ele.</t>
        </is>
      </c>
      <c r="G44" s="21" t="inlineStr">
        <is>
          <t>Média</t>
        </is>
      </c>
      <c r="H44" s="21" t="inlineStr">
        <is>
          <t>Verdadeiro, mas impreciso</t>
        </is>
      </c>
      <c r="I44" s="21" t="inlineStr">
        <is>
          <t>Sim</t>
        </is>
      </c>
      <c r="J44" s="21" t="inlineStr">
        <is>
          <t>Concordo. O limite de buscas da sessão acabou, e não consegui achar uma fonte nova sobre a maioridade penal, mas a posição de Lula é pública e antiga. Descartei como irrelevante a fonte InfoMoney sem título claro.</t>
        </is>
      </c>
      <c r="K44" s="21" t="inlineStr">
        <is>
          <t>https://www.congressoemfoco.com.br/area/congresso-nacional/em-derrota-para-lula-congresso-derruba-veto-em-lei-do-fim-das-saidinhas/
https://www.poder360.com.br/poder-eleicoes/oposicao-reage-a-fala-de-lula-sobre-decisao-dos-eua-contra-pcc-e-cv/
https://sbtnews.sbt.com.br/noticia/politica/governo-diz-que-pcc-e-cv-praticam-terrorismo-ao-criticar-eua
https://www.agazeta.com.br/brasil/congresso-derrota-lula-derruba-veto-e-volta-a-proibir-saidinha-de-presos-0524</t>
        </is>
      </c>
    </row>
    <row r="45">
      <c r="A45" s="21" t="inlineStr">
        <is>
          <t>F44</t>
        </is>
      </c>
      <c r="B45" s="21" t="inlineStr">
        <is>
          <t>Flávio</t>
        </is>
      </c>
      <c r="C45" s="21" t="inlineStr">
        <is>
          <t>01:27</t>
        </is>
      </c>
      <c r="D45" s="21" t="inlineStr">
        <is>
          <t>Com a lei antifacção, chefes de facções podem pegar até 80 anos de cadeia.</t>
        </is>
      </c>
      <c r="E45" s="22" t="inlineStr">
        <is>
          <t>Verdadeiro, mas impreciso</t>
        </is>
      </c>
      <c r="F45" s="21" t="inlineStr">
        <is>
          <t>A lei existe e foi sancionada. Pelos dados abertos da Câmara, o PL 5582/2025 (PL Antifacção, relator Guilherme Derrite) virou a Lei 15.358/2026 em 24/03/2026, com veto parcial, publicada no DOU de 25/03/2026. Ela institui o Marco Legal do Combate ao Crime Organizado ('Lei Raul Jungmann') e cria o crime de domínio social estruturado. Abri o autógrafo enviado à sanção (03/03/2026). O art. 2º prevê 'reclusão, de 20 (vinte) a 40 (quarenta) anos', e o § 1º diz 'Aumenta-se a pena de 2/3 (dois terços) ao dobro se: I – o agente exercer comando ou liderança [...] da organização criminosa ultraviolenta, grupo paramilitar ou milícia privada'. Com o aumento máximo, o dobro, a pena de um líder chega a 80 anos. Portanto o número de Flávio bate com o texto aprovado. Há duas ressalvas. Primeiro, 80 anos é o teto da pena aplicada na sentença, não o tempo de prisão: o art. 75 do Código Penal (de memória, não confirmado nesta revisão) limita o cumprimento a 40 anos, e não encontrei no autógrafo nenhuma mudança nesse artigo. Segundo, não consegui abrir o texto final no Planalto (erro de conexão) para confirmar que o veto parcial não atingiu esse parágrafo.</t>
        </is>
      </c>
      <c r="G45" s="21" t="inlineStr">
        <is>
          <t>Média</t>
        </is>
      </c>
      <c r="H45" s="21" t="inlineStr">
        <is>
          <t>Sem evidência</t>
        </is>
      </c>
      <c r="I45" s="21" t="inlineStr">
        <is>
          <t>Não</t>
        </is>
      </c>
      <c r="J45" s="21" t="inlineStr">
        <is>
          <t>RECHECADO (2ª rodada). Discordo do 'Sem evidência' anterior. Os dados oficiais da Câmara confirmam que a lei foi sancionada (Lei 15.358/2026), e o autógrafo mostra pena de 20 a 40 anos, aumentada de 2/3 até o dobro para quem exerce comando, o que dá até 80 anos. Ficou 'impreciso' porque o limite de cumprimento é de 40 anos e porque não foi possível confirmar que o § 1º sobreviveu ao veto parcial.</t>
        </is>
      </c>
      <c r="K45" s="21" t="inlineStr">
        <is>
          <t>https://dadosabertos.camara.leg.br/api/v2/proposicoes/2579832
https://dadosabertos.camara.leg.br/api/v2/proposicoes/2579832/tramitacoes
https://www.camara.leg.br/proposicoesWeb/prop_mostrarintegra?codteor=3091571</t>
        </is>
      </c>
    </row>
    <row r="46">
      <c r="A46" s="21" t="inlineStr">
        <is>
          <t>F45</t>
        </is>
      </c>
      <c r="B46" s="21" t="inlineStr">
        <is>
          <t>Flávio</t>
        </is>
      </c>
      <c r="C46" s="21" t="inlineStr">
        <is>
          <t>01:28</t>
        </is>
      </c>
      <c r="D46" s="21" t="inlineStr">
        <is>
          <t>A audiência de custódia foi criada pelo CNJ quando Ricardo Lewandowski presidia o STF/CNJ.</t>
        </is>
      </c>
      <c r="E46" s="24" t="inlineStr">
        <is>
          <t>Verdadeiro</t>
        </is>
      </c>
      <c r="F46" s="21" t="inlineStr">
        <is>
          <t>O CNJ lançou o projeto Audiência de Custódia em fevereiro de 2015, sob a presidência de Ricardo Lewandowski no STF e no CNJ, e o regulamentou com a Resolução 213/2015.</t>
        </is>
      </c>
      <c r="G46" s="21" t="inlineStr">
        <is>
          <t>Alta</t>
        </is>
      </c>
      <c r="H46" s="21" t="inlineStr">
        <is>
          <t>Verdadeiro</t>
        </is>
      </c>
      <c r="I46" s="21" t="inlineStr">
        <is>
          <t>Sim</t>
        </is>
      </c>
      <c r="J46" s="21" t="inlineStr">
        <is>
          <t>Confirmado com fontes oficiais do CNJ. Vale como contexto: a audiência de custódia vem do Pacto de San José da Costa Rica, e o CNJ implantou e regulamentou o procedimento.</t>
        </is>
      </c>
      <c r="K46" s="21" t="inlineStr">
        <is>
          <t>https://www.cnj.jus.br/presidente-do-cnj-recebe-premio-direitos-humanos-por-audiencia-de-custodia/
https://www.cnj.jus.br/presidente-do-cnj-anuncia-nova-fase-das-audiencias-de-custodia/
https://www.conjur.com.br/?p=464328</t>
        </is>
      </c>
    </row>
    <row r="47">
      <c r="A47" s="21" t="inlineStr">
        <is>
          <t>F46</t>
        </is>
      </c>
      <c r="B47" s="21" t="inlineStr">
        <is>
          <t>Flávio</t>
        </is>
      </c>
      <c r="C47" s="21" t="inlineStr">
        <is>
          <t>01:28</t>
        </is>
      </c>
      <c r="D47" s="21" t="inlineStr">
        <is>
          <t>Lula disse que ladrão de celular não deveria ser preso porque roubou para tomar uma cervejinha.</t>
        </is>
      </c>
      <c r="E47" s="25" t="inlineStr">
        <is>
          <t>Falso</t>
        </is>
      </c>
      <c r="F47" s="21" t="inlineStr">
        <is>
          <t>Segundo o Poder360, em 13/10/2022 a ministra Maria Claudia Bucchianeri, do TSE, suspendeu uma propaganda de Bolsonaro que associava Lula a ladrões. Em uma entrevista, Lula disse que há pessoas que roubam celular para vender e 'ganhar um dinheirinho', ao falar das causas da violência e da pobreza. A cerveja aparece em outro trecho, sobre torcidas rivais que 'vão para o bar tomar cerveja juntos'. A ministra classificou a peça como 'montagem', com frases ditas em momentos e contextos distintos, e a proibiu sob pena de multa de R$ 50 mil. Nenhuma fonte mostra Lula dizendo que ladrão de celular não deveria ser preso.</t>
        </is>
      </c>
      <c r="G47" s="21" t="inlineStr">
        <is>
          <t>Alta</t>
        </is>
      </c>
      <c r="H47" s="21" t="inlineStr">
        <is>
          <t>Falso</t>
        </is>
      </c>
      <c r="I47" s="21" t="inlineStr">
        <is>
          <t>Sim</t>
        </is>
      </c>
      <c r="J47" s="21" t="inlineStr">
        <is>
          <t>REAVALIADO SEM FONTES ENVIESADAS. Veredito mantido. Saiu o ano de 2017 da entrevista, que não aparece na fonte permitida. O texto agora se apoia só na reportagem do Poder360 sobre a decisão do TSE. Revisor: Abri a fonte, e ela confirma o conteúdo das falas, a data da decisão, o nome da ministra e os termos 'montagem' e 'contextos distintos'. Ela não informa o ano da entrevista, e a retirada de 2017 foi correta. O texto não usa nenhum dado que tenha vindo de fonte excluída.</t>
        </is>
      </c>
      <c r="K47" s="21" t="inlineStr">
        <is>
          <t>https://www.poder360.com.br/justica/tse-suspende-propaganda-de-bolsonaro-que-associa-lula-a-ladroes/</t>
        </is>
      </c>
    </row>
    <row r="48">
      <c r="A48" s="21" t="inlineStr">
        <is>
          <t>F47</t>
        </is>
      </c>
      <c r="B48" s="21" t="inlineStr">
        <is>
          <t>Flávio</t>
        </is>
      </c>
      <c r="C48" s="21" t="inlineStr">
        <is>
          <t>01:34</t>
        </is>
      </c>
      <c r="D48" s="21" t="inlineStr">
        <is>
          <t>No caso da ilha reivindicada por Richarlison, a ação já transitou em julgado e o sócio de Willer (amigo de Flávio) é o ex-ministro de Dilma Eugênio Aragão, advogado de Lula.</t>
        </is>
      </c>
      <c r="E48" s="23" t="inlineStr">
        <is>
          <t>Exagerado</t>
        </is>
      </c>
      <c r="F48" s="21" t="inlineStr">
        <is>
          <t>A disputa pela ilha em Angra dos Reis segue aberta em outubro de 2026. Lula pediu à PF que investigue, e a PF deve incluir o caso no inquérito sobre Flávio e Willer Tomaz. Nenhuma reportagem fala em decisão judicial transitada em julgado, o que contradiz a fala. É correto que Eugênio Aragão, ex-ministro da Justiça de Dilma, foi sócio de Willer Tomaz e advogou para a empresa (reportagem de 2022).</t>
        </is>
      </c>
      <c r="G48" s="21" t="inlineStr">
        <is>
          <t>Média</t>
        </is>
      </c>
      <c r="H48" s="21" t="inlineStr">
        <is>
          <t>Verdadeiro, mas impreciso</t>
        </is>
      </c>
      <c r="I48" s="21" t="inlineStr">
        <is>
          <t>Não</t>
        </is>
      </c>
      <c r="J48" s="21" t="inlineStr">
        <is>
          <t>RECHECADO (2ª rodada). Os agentes da 2ª rodada esgotaram o limite de buscas; a rechecagem foi concluída na verificação final, com buscas próprias em portais de notícias e dados oficiais.</t>
        </is>
      </c>
      <c r="K48" s="21" t="inlineStr">
        <is>
          <t>https://www.metropoles.com/brasil/richarlison-x-willer-tomaz-lula-pede-que-pf-investigue-disputa-por-ilha
https://www.cnnbrasil.com.br/blogs/jussara-soares/politica/pf-incluira-caso-da-ilha-de-richarlison-em-inquerito-sobre-flavio-e-willer/
https://www.cnnbrasil.com.br/eleicoes/richarlison-rebate-advogado-amigo-de-flavio-bolsonaro-em-disputa-por-ilha/
https://www.opovo.com.br/noticias/politica/2022/11/26/richarlison-destaque-na-copa-trava-disputa-judicial-contra-amigo-de-flavio-bolsonaro-entenda.html</t>
        </is>
      </c>
    </row>
    <row r="49">
      <c r="A49" s="21" t="inlineStr">
        <is>
          <t>F48</t>
        </is>
      </c>
      <c r="B49" s="21" t="inlineStr">
        <is>
          <t>Flávio</t>
        </is>
      </c>
      <c r="C49" s="21" t="inlineStr">
        <is>
          <t>01:37</t>
        </is>
      </c>
      <c r="D49" s="21" t="inlineStr">
        <is>
          <t>Lula ganhou um uísque Macallan de cerca de R$ 500 mil (presente ligado a Daniel Vorcaro).</t>
        </is>
      </c>
      <c r="E49" s="23" t="inlineStr">
        <is>
          <t>Exagerado</t>
        </is>
      </c>
      <c r="F49" s="21" t="inlineStr">
        <is>
          <t>Mensagens reveladas pelo O Globo indicam que Lula teria agradecido a Vorcaro por um uísque. A Secom nega que o presente tenha sido recebido, e Lula disse não lembrar. Nenhuma fonte jornalística consultada cita a marca Macallan nem o valor de R$ 500 mil.</t>
        </is>
      </c>
      <c r="G49" s="21" t="inlineStr">
        <is>
          <t>Média</t>
        </is>
      </c>
      <c r="H49" s="21" t="inlineStr">
        <is>
          <t>Exagerado</t>
        </is>
      </c>
      <c r="I49" s="21" t="inlineStr">
        <is>
          <t>Sim</t>
        </is>
      </c>
      <c r="J49" s="21" t="inlineStr">
        <is>
          <t>Abri o SBT News, que confirma a origem nas mensagens, a negativa da Secom e a ausência de marca e valor. A base é real, mas a marca e o valor parecem inflados.</t>
        </is>
      </c>
      <c r="K49" s="21" t="inlineStr">
        <is>
          <t>https://sbtnews.sbt.com.br/noticia/politica/flavio-pede-para-investigar-se-lula-beneficiou-master
https://www.diariodepernambuco.com.br/politica/2026/09/11725095-lula-diz-nao-lembrar-se-ganhou-uisque-de-vorcaro-se-deu-ja-bebi.html
https://www.correiodamanha.com.br/politica/2026/09/322533-lula-diz-nao-lembrar-de-uisque-ligado-a-vorcaro-se-deu-ja-bebi.html
https://www.diariodepernambuco.com.br/politica/2026/09/11724726-defesa-de-flavio-pede-a-mendonca-abertura-de-inquerito-por-uisque-de-vorcaro-para-lula.html</t>
        </is>
      </c>
    </row>
    <row r="50">
      <c r="A50" s="21" t="inlineStr">
        <is>
          <t>F49</t>
        </is>
      </c>
      <c r="B50" s="21" t="inlineStr">
        <is>
          <t>Flávio</t>
        </is>
      </c>
      <c r="C50" s="21" t="inlineStr">
        <is>
          <t>01:41</t>
        </is>
      </c>
      <c r="D50" s="21" t="inlineStr">
        <is>
          <t>Relatório da PF concluiu que o filme sobre Bolsonaro (investimento de Vorcaro) não teve dinheiro público nem contrapartida por Flávio ser senador.</t>
        </is>
      </c>
      <c r="E50" s="25" t="inlineStr">
        <is>
          <t>Falso</t>
        </is>
      </c>
      <c r="F50" s="21" t="inlineStr">
        <is>
          <t>Não existe conclusão da PF. Em outubro de 2026, a PF pediu mais 90 dias ao STF, à espera de perícia financeira. O relatório parcial descreve Flávio como 'interlocutor direto' de Vorcaro, e a PGR quer apurar se houve ato parlamentar em contrapartida. O argumento de que não houve contrapartida é da defesa de Flávio.</t>
        </is>
      </c>
      <c r="G50" s="21" t="inlineStr">
        <is>
          <t>Alta</t>
        </is>
      </c>
      <c r="H50" s="21" t="inlineStr">
        <is>
          <t>Falso</t>
        </is>
      </c>
      <c r="I50" s="21" t="inlineStr">
        <is>
          <t>Sim</t>
        </is>
      </c>
      <c r="J50" s="21" t="inlineStr">
        <is>
          <t>Abri as duas reportagens da Folha de Pernambuco: o inquérito segue aberto e a contrapartida ainda está sendo apurada. Uma ressalva: a investigação trata de recursos privados de Vorcaro, não de dinheiro público. A parte 'sem dinheiro público' não é desmentida, mas a frase atribui à PF uma conclusão que ela não tirou.</t>
        </is>
      </c>
      <c r="K50" s="21" t="inlineStr">
        <is>
          <t>https://www.folhape.com.br/politica/pf-pede-mais-90-dias-para-investigar-dark-horse/518933/
https://www.folhape.com.br/politica/pf-diz-que-flavio-foi-interlocutor-direto-de-vorcaro-no/511983/
https://mais.opovo.com.br/jornal/dom/2026/09/13/pf-aponta-cobrancas-de-flavio-a-vorcaro-e-detalha-relacao-sobre-dark-horse.html
https://www.jb.com.br/brasil/politica/2026/05/1059614-deputados-pedem-investigacao-sobre-relacao-entre-vorcaro-e-flavio.html</t>
        </is>
      </c>
    </row>
    <row r="51">
      <c r="A51" s="21" t="inlineStr">
        <is>
          <t>F50</t>
        </is>
      </c>
      <c r="B51" s="21" t="inlineStr">
        <is>
          <t>Flávio</t>
        </is>
      </c>
      <c r="C51" s="21" t="inlineStr">
        <is>
          <t>01:41</t>
        </is>
      </c>
      <c r="D51" s="21" t="inlineStr">
        <is>
          <t>Em áudio, Vorcaro relata repasse de R$ 30 milhões 'por fora' para o Instituto Lula fazer um filme de Lula.</t>
        </is>
      </c>
      <c r="E51" s="24" t="inlineStr">
        <is>
          <t>Verdadeiro</t>
        </is>
      </c>
      <c r="F51" s="21" t="inlineStr">
        <is>
          <t>A Veja divulgou em outubro de 2026 um áudio em que Vorcaro diz ter negociado com João Vaccari Neto cerca de R$ 30 milhões em espécie para o Instituto Lula custear o documentário 'Lula', de Oliver Stone. Daniel Bialski, advogado de Vorcaro, confirmou que a voz é dele. Flávio descreve corretamente o que o áudio diz. O conteúdo, porém, não foi comprovado: a PF e a PGR dizem que nada disso consta em depoimento ou delação, e Lula e a equipe de Stone negam.</t>
        </is>
      </c>
      <c r="G51" s="21" t="inlineStr">
        <is>
          <t>Média</t>
        </is>
      </c>
      <c r="H51" s="21" t="inlineStr">
        <is>
          <t>Verdadeiro, mas impreciso</t>
        </is>
      </c>
      <c r="I51" s="21" t="inlineStr">
        <is>
          <t>Não</t>
        </is>
      </c>
      <c r="J51" s="21" t="inlineStr">
        <is>
          <t>Fiz nova busca e consultei o Correio da Manhã, que relata que o advogado de Vorcaro confirmou que a voz no áudio é dele. Elevo o veredito para 'Verdadeiro' porque Flávio afirma apenas o que o áudio relata, não que o pagamento ocorreu. A falta de comprovação do pagamento é ressalva de contexto, não erro na fala. As fontes da pesquisa original são noticiosas.</t>
        </is>
      </c>
      <c r="K51" s="21" t="inlineStr">
        <is>
          <t>https://www.correiodamanha.com.br/politica/2026/10/326097-pf-e-pgr-negam-audios-de-vorcaro-sobre-filme-de-lula.html
https://sbtnews.sbt.com.br/noticia/politica/em-audio-vorcaro-diz-ter-financiado-filme-sobre-lula
https://www.poder360.com.br/poder-eleicoes-2026/alckmin-diz-que-nao-ha-prova-sobre-vorcaro-e-filme-de-lula/
https://mais.opovo.com.br/jornal/politica/2026/10/10/audio-de-vorcaro-fala-de-dinheiro-em-filme-de-lula-pf-e-pgr-negam-que-esteja-em-delacao.html</t>
        </is>
      </c>
    </row>
    <row r="52">
      <c r="A52" s="21" t="inlineStr">
        <is>
          <t>F51</t>
        </is>
      </c>
      <c r="B52" s="21" t="inlineStr">
        <is>
          <t>Flávio</t>
        </is>
      </c>
      <c r="C52" s="21" t="inlineStr">
        <is>
          <t>01:42</t>
        </is>
      </c>
      <c r="D52" s="21" t="inlineStr">
        <is>
          <t>Segundo a Veja, um assessor de Alexandre Padilha articulou investimento de fundos de pensão (Caixa, BB, Correios) no Banco Master, com propina de R$ 1 bilhão.</t>
        </is>
      </c>
      <c r="E52" s="22" t="inlineStr">
        <is>
          <t>Verdadeiro, mas impreciso</t>
        </is>
      </c>
      <c r="F52" s="21" t="inlineStr">
        <is>
          <t>A Veja publicou que interlocutores ligados a Padilha, como Olavo Noleto (ex-secretário-executivo da SRI) e o consultor Júlio Cezar, atuaram para que Vorcaro chegasse a fundos de pensão. Os fundos citados são Petros e Postalis (este dos Correios), e Caixa e BB aparecem como alvos. Na versão atribuída a Vorcaro, R$ 1 bilhão dos recursos captados, ou 10%, iria para propina. Mas Noleto não é descrito como 'assessor', a propina era só prevista, não comprovada, e Padilha nega e chama a acusação de farsa.</t>
        </is>
      </c>
      <c r="G52" s="21" t="inlineStr">
        <is>
          <t>Média</t>
        </is>
      </c>
      <c r="H52" s="21" t="inlineStr">
        <is>
          <t>Verdadeiro, mas impreciso</t>
        </is>
      </c>
      <c r="I52" s="21" t="inlineStr">
        <is>
          <t>Sim</t>
        </is>
      </c>
      <c r="J52" s="21" t="inlineStr">
        <is>
          <t>Reli o Times Brasil e confirmei: R$ 1 bilhão em propina na versão de Vorcaro, Caixa e BB entre os visados, Postalis (dos Correios) entre os fundos. Correção ao original: a matéria cita Petros e Postalis, não a Previ, e não chama ninguém de 'assessor' de Padilha. Não consegui confirmar a resposta da Previ porque a cota de buscas acabou.</t>
        </is>
      </c>
      <c r="K52" s="21" t="inlineStr">
        <is>
          <t>https://timesbrasil.com.br/brasil/caso-master-vorcaro-buscou-apoio-de-interlocutores-de-alexandre-padilha-ministro-de-lula-para-captar-ate-r-10-bilhoes-de-fundos-de-pensao/
https://www.congressoemfoco.com.br/noticia/123151/padilha-acusa-veja-de-tentar-confundir-a-sociedade-em-reportagem
https://www.jornalopcao.com.br/ultimas-noticias/registros-do-planalto-confirmam-reunioes-de-daniel-vorcaro-com-lobista-ligado-a-grupo-de-padilha-878516/
https://www.maisgoias.com.br/politica/petista-goiano-olavo-noleto-e-citado-em-articulacoes-do-banco-master-com-governo-lula-revela-veja/</t>
        </is>
      </c>
    </row>
    <row r="53">
      <c r="A53" s="21" t="inlineStr">
        <is>
          <t>F52</t>
        </is>
      </c>
      <c r="B53" s="21" t="inlineStr">
        <is>
          <t>Flávio</t>
        </is>
      </c>
      <c r="C53" s="21" t="inlineStr">
        <is>
          <t>01:45</t>
        </is>
      </c>
      <c r="D53" s="21" t="inlineStr">
        <is>
          <t>O endereço declarado por Lulinha é um imóvel em SP de até R$ 15 milhões cujo proprietário é Jonas Suassuna, o mesmo do sítio de Atibaia.</t>
        </is>
      </c>
      <c r="E53" s="22" t="inlineStr">
        <is>
          <t>Verdadeiro, mas impreciso</t>
        </is>
      </c>
      <c r="F53" s="21" t="inlineStr">
        <is>
          <t>Segundo o Jornal de Brasília, o apartamento em Moema (SP) onde Lulinha mora desde 2013 está registrado em nome de Jonas Leite Suassuna Filho, ex-sócio dele. Suassuna comprou o imóvel em 2009. É um andar inteiro de um condomínio de alto padrão, com mais de 500 m², piscina, três suítes, terraço gourmet e quatro vagas. Lulinha ocupa o imóvel por contrato de aluguel, que a defesa diz estar vigente. Portanto, o proprietário é mesmo Suassuna. A fonte permitida diz apenas que Suassuna 'apareceu em apurações' sobre o sítio de Atibaia usado por Lula. Ela não confirma que ele seja dono do sítio, como diz a frase. O valor de 'até R$ 15 milhões' não aparece em nenhuma fonte válida. O núcleo da afirmação se sustenta, mas o valor e a condição de 'proprietário do sítio' ficam sem comprovação.</t>
        </is>
      </c>
      <c r="G53" s="21" t="inlineStr">
        <is>
          <t>Média</t>
        </is>
      </c>
      <c r="H53" s="21" t="inlineStr">
        <is>
          <t>Verdadeiro, mas impreciso</t>
        </is>
      </c>
      <c r="I53" s="21" t="inlineStr">
        <is>
          <t>Sim</t>
        </is>
      </c>
      <c r="J53" s="21" t="inlineStr">
        <is>
          <t>REAVALIADO SEM FONTES ENVIESADAS. O veredito se mantém e a confiança cai para Média. A informação de que Suassuna é 'um dos donos' do sítio vinha só da Gazeta do Povo, que foi excluída, e por isso foi retirada. Revisor: Abri o Jornal de Brasília e confirmei tudo o que o agente atribui a ele: dono, compra em 2009, área de mais de 500 m², aluguel desde 2013 e menção apenas a 'apurações' sobre o sítio. A matéria não traz valor do imóvel. O agente não usa nenhum dado que só vinha de fonte excluída. O resultado é coerente.</t>
        </is>
      </c>
      <c r="K53" s="21" t="inlineStr">
        <is>
          <t>https://jornaldebrasilia.com.br/noticias/politica-e-poder/careca-do-inss-orientou-entrega-de-encomenda-em-imovel-alugado-por-lulinha/</t>
        </is>
      </c>
    </row>
    <row r="54">
      <c r="A54" s="21" t="inlineStr">
        <is>
          <t>F53</t>
        </is>
      </c>
      <c r="B54" s="21" t="inlineStr">
        <is>
          <t>Flávio</t>
        </is>
      </c>
      <c r="C54" s="21" t="inlineStr">
        <is>
          <t>01:46</t>
        </is>
      </c>
      <c r="D54" s="21" t="inlineStr">
        <is>
          <t>Lula foi condenado por ocultação de patrimônio (sítio de Atibaia e triplex do Guarujá não estavam em seu nome).</t>
        </is>
      </c>
      <c r="E54" s="22" t="inlineStr">
        <is>
          <t>Verdadeiro, mas impreciso</t>
        </is>
      </c>
      <c r="F54" s="21" t="inlineStr">
        <is>
          <t>Lula foi condenado nos casos do triplex e do sítio por corrupção passiva e lavagem de dinheiro. A lavagem tratava de ocultar a propriedade dos imóveis, que de fato não estavam em seu nome. Não existe, porém, um crime chamado 'ocultação de patrimônio'. E as condenações foram anuladas pelo STF em 2021, o que Flávio omite.</t>
        </is>
      </c>
      <c r="G54" s="21" t="inlineStr">
        <is>
          <t>Alta</t>
        </is>
      </c>
      <c r="H54" s="21" t="inlineStr">
        <is>
          <t>Verdadeiro, mas impreciso</t>
        </is>
      </c>
      <c r="I54" s="21" t="inlineStr">
        <is>
          <t>Sim</t>
        </is>
      </c>
      <c r="J54" s="21" t="inlineStr">
        <is>
          <t>Não fiz nova busca porque a cota acabou. O original se apoia em fatos amplamente documentados (as condenações e a anulação em 2021) e cita fontes noticiosas adequadas. Concordo com o veredito.</t>
        </is>
      </c>
      <c r="K54" s="21" t="inlineStr">
        <is>
          <t>https://www.cnnbrasil.com.br/politica/veja-os-processos-envolvendo-o-ex-presidente-lula/
https://congressoemfoco.com.br/justica/lula-fachin-lava-jato
https://www.metropoles.com/brasil/justica/triplex-atibaia-e-instituto-lula-relembre-casos-de-lula-na-lava-jato</t>
        </is>
      </c>
    </row>
    <row r="55">
      <c r="A55" s="21" t="inlineStr">
        <is>
          <t>F54</t>
        </is>
      </c>
      <c r="B55" s="21" t="inlineStr">
        <is>
          <t>Flávio</t>
        </is>
      </c>
      <c r="C55" s="21" t="inlineStr">
        <is>
          <t>01:48</t>
        </is>
      </c>
      <c r="D55" s="21" t="inlineStr">
        <is>
          <t>Lula prometeu não decretar sigilo de 100 anos e decretou; prometeu não indicar amigos ao STF e indicou.</t>
        </is>
      </c>
      <c r="E55" s="22" t="inlineStr">
        <is>
          <t>Verdadeiro, mas impreciso</t>
        </is>
      </c>
      <c r="F55" s="21" t="inlineStr">
        <is>
          <t>Sigilo de 100 anos: na campanha de 2022, Lula criticou os sigilos de Bolsonaro e prometeu acabar com eles. Segundo O Povo, com base em apuração de O Globo, entre 1/1/2023 e 20/12/2024 o governo negou cerca de 3.210 pedidos via LAI por 'informação pessoal', contra 2.959 na gestão Bolsonaro. Entre os casos estão a lista de visitantes de Janja e a declaração de conflito de interesses do ministro Alexandre Silveira. A promessa não foi cumprida. Tecnicamente, porém, não houve 'decreto' de sigilo: são negativas de pedidos com base na LAI. STF: Lula indicou Cristiano Zanin, que o defendeu na Lava Jato e é descrito pelo Observador como seu 'amigo pessoal'. Indicou também Flávio Dino, então seu ministro da Justiça, nomeado em 2024 (O Tempo). Em 2026, indicou o advogado-geral da União, Jorge Messias, que o Senado rejeitou em 29/04/2026 por 42 votos a 34 (Agência Brasil). As indicações de pessoas próximas são fato. Não há registro, em fontes válidas, de uma promessa explícita de 'não indicar amigos'.</t>
        </is>
      </c>
      <c r="G55" s="21" t="inlineStr">
        <is>
          <t>Média</t>
        </is>
      </c>
      <c r="H55" s="21" t="inlineStr">
        <is>
          <t>Verdadeiro, mas impreciso</t>
        </is>
      </c>
      <c r="I55" s="21" t="inlineStr">
        <is>
          <t>Sim</t>
        </is>
      </c>
      <c r="J55" s="21" t="inlineStr">
        <is>
          <t>REAVALIADO SEM FONTES ENVIESADAS. Saíram dados que só vinham de lá, como 'advogado da família desde 2013' e as críticas de aliados. Os números de sigilo agora vêm de O Povo/O Globo. Revisor: Abri O Povo, Observador, O Tempo e Agência Brasil, e as quatro confirmam o que o agente alega. Não conferi o link do Senado Notícias, mas ele é redundante com a Agência Brasil. Nenhum dado depende de fonte excluída. O resultado é coerente.</t>
        </is>
      </c>
      <c r="K55" s="21" t="inlineStr">
        <is>
          <t>https://www.opovo.com.br/noticias/politica/2025/01/06/lula-mantem-sigilo-de-100-anos-em-nivel-semelhante-ao-de-bolsonaro.html
https://observador.pt/2023/06/03/lula-indica-cristiano-zanin-advogado-que-o-defendeu-na-lava-jato-para-cargo-no-supremo-tribunal-federal/
https://www.otempo.com.br/politica/governo/lula-exonera-dino-do-ministerio-da-justica-e-o-nomeia-para-o-stf-1.3322550
https://agenciabrasil.ebc.com.br/politica/noticia/2026-04/senado-rejeita-indicacao-de-messias-para-stf</t>
        </is>
      </c>
    </row>
    <row r="56">
      <c r="A56" s="21" t="inlineStr">
        <is>
          <t>F55</t>
        </is>
      </c>
      <c r="B56" s="21" t="inlineStr">
        <is>
          <t>Flávio</t>
        </is>
      </c>
      <c r="C56" s="21" t="inlineStr">
        <is>
          <t>01:48</t>
        </is>
      </c>
      <c r="D56" s="21" t="inlineStr">
        <is>
          <t>Lula mantém sigilo sobre os registros de entrada no Palácio da Alvorada e sobre gastos do cartão corporativo.</t>
        </is>
      </c>
      <c r="E56" s="22" t="inlineStr">
        <is>
          <t>Verdadeiro, mas impreciso</t>
        </is>
      </c>
      <c r="F56" s="21" t="inlineStr">
        <is>
          <t>A parte sobre o cartão corporativo tem respaldo. Segundo levantamento da Veja de 16/07/2025, com dados do TCU, a Presidência gastou mais de R$ 55 milhões com cartões corporativos entre janeiro de 2023 e abril de 2025, e cerca de 99,55% desse valor foi classificado como sigiloso, o que impede órgãos de controle de avaliar a despesa. Ou seja, o total aparece, mas o detalhamento quase todo é secreto, e isso também acontecia em governos anteriores, por motivo de segurança presidencial. Sobre os registros de entrada no Palácio da Alvorada, não encontrei nesta rodada reportagem que confirme o sigilo e não consegui verificar se houve mudança em 2025 ou 2026. Por isso a frase tem fundamento, mas generaliza: na metade sobre o Alvorada, falta comprovação.</t>
        </is>
      </c>
      <c r="G56" s="21" t="inlineStr">
        <is>
          <t>Média</t>
        </is>
      </c>
      <c r="H56" s="21" t="inlineStr">
        <is>
          <t>Verdadeiro, mas impreciso</t>
        </is>
      </c>
      <c r="I56" s="21" t="inlineStr">
        <is>
          <t>Sim</t>
        </is>
      </c>
      <c r="J56" s="21" t="inlineStr">
        <is>
          <t>RECHECADO (2ª rodada). Concordo com a análise anterior e acrescentei o dado da Veja/TCU de julho de 2025 (99,55% sigiloso). Não consegui abrir o link da Veja, porque o domínio bloqueou o acesso. A parte do Alvorada continua sem verificação por falta de buscas.</t>
        </is>
      </c>
      <c r="K56" s="21" t="inlineStr">
        <is>
          <t>https://veja.abril.com.br/politica/exclusivo-presidencia-gastou-mais-de-r-55-milhoes-com-cartao-corporativo-desde-a-posse/</t>
        </is>
      </c>
    </row>
    <row r="57">
      <c r="A57" s="21" t="inlineStr">
        <is>
          <t>F56</t>
        </is>
      </c>
      <c r="B57" s="21" t="inlineStr">
        <is>
          <t>Flávio</t>
        </is>
      </c>
      <c r="C57" s="21" t="inlineStr">
        <is>
          <t>01:52</t>
        </is>
      </c>
      <c r="D57" s="21" t="inlineStr">
        <is>
          <t>Flávio Bolsonaro nunca foi investigado por envolvimento com milícia.</t>
        </is>
      </c>
      <c r="E57" s="22" t="inlineStr">
        <is>
          <t>Verdadeiro, mas impreciso</t>
        </is>
      </c>
      <c r="F57" s="21" t="inlineStr">
        <is>
          <t>Não achei registro de inquérito ou denúncia contra Flávio por crime de milícia. Ele foi investigado e denunciado pelo Ministério Público do Rio (MP-RJ) em outubro de 2020 no caso das 'rachadinhas' (peculato, lavagem de dinheiro e organização criminosa). Em novembro de 2021, o STJ anulou as quebras de sigilo e o STF anulou relatórios do Coaf, e o Tribunal de Justiça do Rio rejeitou e arquivou a denúncia em maio de 2022. Mas essa investigação passou por ligações com a milícia. Flávio empregou no gabinete a ex-mulher (de 2007 a 2018) e a mãe (de 2016 a 2018) do ex-PM Adriano da Nóbrega, apontado pelo MP como chefe do Escritório do Crime. A mãe de Adriano foi citada pelo Coaf como responsável por depósitos na conta de Fabrício Queiroz. Flávio também homenageou Adriano em 2003 (moção de louvor) e em 2005 (Medalha Tiradentes). Fato recente: em 20/03/2026, O Globo noticiou que uma ex-assessora de Flávio foi denunciada por suspeita de lavar dinheiro do filho, líder do Escritório do Crime. A frase é formalmente defensável, mas omite que a investigação contra ele apurou vínculos do gabinete com milicianos.</t>
        </is>
      </c>
      <c r="G57" s="21" t="inlineStr">
        <is>
          <t>Média</t>
        </is>
      </c>
      <c r="H57" s="21" t="inlineStr">
        <is>
          <t>Verdadeiro, mas impreciso</t>
        </is>
      </c>
      <c r="I57" s="21" t="inlineStr">
        <is>
          <t>Sim</t>
        </is>
      </c>
      <c r="J57" s="21" t="inlineStr">
        <is>
          <t>RECHECADO (2ª rodada). Concordo com o veredito anterior. Acrescentei a reportagem de março de 2026 sobre a denúncia contra a ex-assessora ligada a Adriano, as homenagens de 2003 e 2005 e a data do arquivamento (maio de 2022). Não abri nenhum desses links, porque as buscas acabaram e O Globo, Estadão e UOL bloquearam o WebFetch. O ConJur é portal jurídico especializado.</t>
        </is>
      </c>
      <c r="K57" s="21" t="inlineStr">
        <is>
          <t>https://oglobo.globo.com/politica/noticia/2026/03/20/ex-assessora-de-flavio-bolsonaro-e-denunciada-por-suspeita-de-lavar-dinheiro-do-filho-lider-do-escritorio-do-crime.ghtml
https://noticias.uol.com.br/politica/ultimas-noticias/2022/04/09/fantasma-e-r-776-mil-em-salario-a-relacao-da-ex-de-adriano-e-os-bolsonaro.htm
https://www.estadao.com.br/politica/blog-do-fausto-macedo/quinta-turma-do-stj-anula-todas-as-decisoes-de-primeira-instancia-no-inquerito-das-rachadinhas-que-atinge-flavio-bolsonaro/
https://www.conjur.com.br/2022-mai-16/tj-rj-arquiva-denuncia-flavio-bolsonaro-rachadinha</t>
        </is>
      </c>
    </row>
    <row r="58">
      <c r="A58" s="21" t="inlineStr">
        <is>
          <t>L01</t>
        </is>
      </c>
      <c r="B58" s="21" t="inlineStr">
        <is>
          <t>Lula</t>
        </is>
      </c>
      <c r="C58" s="21" t="inlineStr">
        <is>
          <t>00:08</t>
        </is>
      </c>
      <c r="D58" s="21" t="inlineStr">
        <is>
          <t>O Novo PAC anunciou R$ 1,7 trilhão em investimentos, dos quais quase R$ 800 bilhões já foram executados; nunca se investiu tanto em infraestrutura na história.</t>
        </is>
      </c>
      <c r="E58" s="23" t="inlineStr">
        <is>
          <t>Exagerado</t>
        </is>
      </c>
      <c r="F58" s="21" t="inlineStr">
        <is>
          <t>O Novo PAC foi lançado em agosto de 2023 com R$ 1,7 trilhão. Cerca de R$ 300 bilhões desse total eram previstos para depois de 2026, e o valor inclui estatais, bancos públicos, concessões e PPPs. A página oficial da Casa Civil (dados de junho/2026) já mostra uma carteira de R$ 1,9 tri, mas não traz em texto um valor executado que confirme os 'quase R$ 800 bi'. O 'nunca se investiu tanto' não se sustenta para o dinheiro público: segundo o Poder360, a parcela do Orçamento da União (R$ 371 bi) é menor que a prevista no PAC 1 (R$ 414 bi) e no PAC 2 (R$ 621 bi).</t>
        </is>
      </c>
      <c r="G58" s="21" t="inlineStr">
        <is>
          <t>Média</t>
        </is>
      </c>
      <c r="H58" s="21" t="inlineStr">
        <is>
          <t>Exagerado</t>
        </is>
      </c>
      <c r="I58" s="21" t="inlineStr">
        <is>
          <t>Sim</t>
        </is>
      </c>
      <c r="J58" s="21" t="inlineStr">
        <is>
          <t>Concordo com o veredito. Confirmei os R$ 1,7 tri e acrescentei a comparação com PAC 1 e PAC 2, que derruba o superlativo para o investimento público. Na página oficial, a carteira atual aparece como R$ 1,9 tri, e o Orçamento da União pagou R$ 117,7 bi de 2023 a 2025. Não consegui confirmar os R$ 711 bi executados que a pesquisa original citou sem link nem o número de ~R$ 800 bi. O limite de buscas da sessão acabou, então só pude abrir links diretos.</t>
        </is>
      </c>
      <c r="K58" s="21" t="inlineStr">
        <is>
          <t>https://www.poder360.com.br/governo/novo-pac-chega-a-r-17-bi-com-verba-do-governo-e-setor-privado/
https://www.gov.br/casacivil/pt-br/novopac
https://www.gov.br/casacivil/pt-br/novopac/transparencia
https://sbtnews.sbt.com.br/noticia/economia/256394-novo-pac-preve-r-17-trilhao-em-investimentos-ate-2026</t>
        </is>
      </c>
    </row>
    <row r="59">
      <c r="A59" s="21" t="inlineStr">
        <is>
          <t>L02</t>
        </is>
      </c>
      <c r="B59" s="21" t="inlineStr">
        <is>
          <t>Lula</t>
        </is>
      </c>
      <c r="C59" s="21" t="inlineStr">
        <is>
          <t>00:09</t>
        </is>
      </c>
      <c r="D59" s="21" t="inlineStr">
        <is>
          <t>O governo Lula herdou cerca de 6.000 obras paradas.</t>
        </is>
      </c>
      <c r="E59" s="22" t="inlineStr">
        <is>
          <t>Verdadeiro, mas impreciso</t>
        </is>
      </c>
      <c r="F59" s="21" t="inlineStr">
        <is>
          <t>Há vários levantamentos oficiais de obras paradas ou inacabadas no início do governo. Segundo o TCU, citado pelo Poder360, 5.344 obras dos PACs 1 e 2 não estavam concluídas, e 2.688 delas estavam paradas. O Ministério da Saúde contou cerca de 5,5 mil, e a educação tinha alguns milhares. 'Cerca de 6.000' cabe na ordem de grandeza, mas o total muda conforme a base usada (paradas ou inacabadas, setor, programa).</t>
        </is>
      </c>
      <c r="G59" s="21" t="inlineStr">
        <is>
          <t>Média</t>
        </is>
      </c>
      <c r="H59" s="21" t="inlineStr">
        <is>
          <t>Verdadeiro, mas impreciso</t>
        </is>
      </c>
      <c r="I59" s="21" t="inlineStr">
        <is>
          <t>Sim</t>
        </is>
      </c>
      <c r="J59" s="21" t="inlineStr">
        <is>
          <t>Concordo. Acrescentei o dado do TCU sobre os PACs (5.344 inacabadas, 2.688 paradas), que confirma que o número depende da base de contagem. As fontes da pesquisa original são jornalísticas e nenhuma é agência de checagem.</t>
        </is>
      </c>
      <c r="K59" s="21" t="inlineStr">
        <is>
          <t>https://www.poder360.com.br/governo/novo-pac-chega-a-r-17-bi-com-verba-do-governo-e-setor-privado/
https://www.correiobraziliense.com.br/politica/2023/05/5094268-governo-lula-vai-destinar-rs-4-bilhoes-para-obras-paradas-da-educacao.html
https://brasil61.com/n/presidente-sanciona-pacto-nacional-pela-retomada-de-obras-inacabadas-pind234330
https://jornaldaparaiba.com.br/_/168789</t>
        </is>
      </c>
    </row>
    <row r="60">
      <c r="A60" s="21" t="inlineStr">
        <is>
          <t>L03</t>
        </is>
      </c>
      <c r="B60" s="21" t="inlineStr">
        <is>
          <t>Lula</t>
        </is>
      </c>
      <c r="C60" s="21" t="inlineStr">
        <is>
          <t>00:12</t>
        </is>
      </c>
      <c r="D60" s="21" t="inlineStr">
        <is>
          <t>O governo está fazendo a BR-319 (Porto Velho–Manaus), a Transnordestina, a FIOL e a FICO, e financia o túnel Santos–Guarujá com orçamento federal e BNDES.</t>
        </is>
      </c>
      <c r="E60" s="22" t="inlineStr">
        <is>
          <t>Verdadeiro, mas impreciso</t>
        </is>
      </c>
      <c r="F60" s="21" t="inlineStr">
        <is>
          <t>Concordo com o veredito "Verdadeiro, mas impreciso". As cinco obras existem e têm dinheiro ou participação federal. Mas a fala aumenta o papel direto do governo em algumas delas, e a menção ao BNDES no túnel está errada. 1) BR-319: o governo está fazendo obras em parte da estrada, mas não a pavimentação completa. - Em 13/04/2026 o governo publicou quatro editais para melhorar o pavimento do "trecho do meio" (km 250,7 a 590,1). São 339,4 km, com custo estimado de R$ 678 milhões e prazo de três anos (Agência iNFRA). - A Licença de Instalação (LI) ainda não tinha sido emitida. - O governo pode usar um trecho da nova Lei do Licenciamento que dispensa licença para melhorias em rodovias já pavimentadas. Lula vetou esse trecho, mas o Congresso derrubou o veto. - "Está fazendo" vale, portanto, só para alguns lotes de melhoria. 2) Transnordestina: a obra está em andamento com muito dinheiro federal, via FDNE/Sudene e Banco do Nordeste. Quem executa é uma concessionária privada, a TLSA. 3) FIOL: o trecho FIOL 2 é tocado pela estatal Infra S.A. 4) FICO: é construída pela Vale, como parte do que a empresa ofereceu em troca da renovação antecipada da sua concessão. O dinheiro não sai diretamente do orçamento da União. Não confirmei por conta própria os percentuais de FIOL e FICO, que são de 2025. 5) Túnel Santos–Guarujá: o projeto é uma parceria público-privada (PPP) de R$ 6,8 bilhões. - A União aporta cerca de R$ 2,5 bilhões por meio da Autoridade Portuária de Santos. O TCU suspendeu esse repasse de forma cautelar em março de 2026. - O empréstimo de R$ 2,5 bilhões ao Estado de São Paulo veio do Banco do Brasil, com prazo de 23 anos e garantia da União. O contrato foi assinado em 13/04/2026 (Poder360). - Segundo a CNN Brasil, o BNDES NEGOU o pedido de R$ 2,57 bilhões para o túnel. - Correção à análise anterior: a aprovação de R$ 2,4 bilhões pelo BNDES em fevereiro de 2025 era para a Linha 2-Verde do metrô, não para o túnel. - As obras devem começar só em janeiro de 2027 (ministro Tomé Franca, Agência Câmara, 20/05/2026). Essa reportagem fala em "investimento federal de R$ 6 bilhões", número que diverge dos R$ 2,5 bilhões publicados pelo Poder360. - O "financia com orçamento federal" se sustenta pelo aporte federal e pela garantia da União. O "BNDES" é falso. Limitação: o limite de buscas na web acabou já na minha 1ª consulta. Por isso a revisão se baseou em WebFetch das fontes jornalísticas do outro agente.</t>
        </is>
      </c>
      <c r="G60" s="21" t="inlineStr">
        <is>
          <t>Média</t>
        </is>
      </c>
      <c r="H60" s="21" t="inlineStr">
        <is>
          <t>Verdadeiro, mas impreciso</t>
        </is>
      </c>
      <c r="I60" s="21" t="inlineStr">
        <is>
          <t>Sim</t>
        </is>
      </c>
      <c r="J60" s="21" t="inlineStr">
        <is>
          <t>RECHECADO (3ª rodada). Concordo com o veredito e com o essencial da análise, mas corrijo um ponto. O BNDES não "chegou a anunciar a aprovação" de crédito para o túnel: segundo a CNN Brasil, o banco negou o pedido de R$ 2,57 bilhões. A aprovação de R$ 2,4 bilhões era para a Linha 2-Verde do metrô. Abri e confirmei as fontes da CNN, do Poder360, da Agência Câmara e da Agência iNFRA. O valor de R$ 678 milhões da BR-319 aparece na matéria ?p=38808, e não na ?p=39597. A Agência Câmara cita "R$ 6 bilhões de investimento federal", número que diverge dos R$ 2,5 bilhões do Poder360. Os dados de FIOL e FICO continuam sendo de 2025 e não foram reverificados. A busca na web estava bloqueada pelo limite da sessão.</t>
        </is>
      </c>
      <c r="K60" s="21" t="inlineStr">
        <is>
          <t>https://www.cnnbrasil.com.br/infra/demora-em-emprestimos-federais-para-obras-em-sp-azeda-relacao-lula-tarcisio/
https://www.poder360.com.br/poder-economia/obra-do-tunel-santos-guaruja-pode-comecar-em-2026-diz-alckmin/
https://www.camara.leg.br/noticias/1274690-ministro-dos-portos-diz-que-obra-do-tunel-santos-guaruja-deve-comecar-em-janeiro-de-2027/
https://agenciainfra.com/blog/?p=39597</t>
        </is>
      </c>
    </row>
    <row r="61">
      <c r="A61" s="21" t="inlineStr">
        <is>
          <t>L04</t>
        </is>
      </c>
      <c r="B61" s="21" t="inlineStr">
        <is>
          <t>Lula</t>
        </is>
      </c>
      <c r="C61" s="21" t="inlineStr">
        <is>
          <t>00:13</t>
        </is>
      </c>
      <c r="D61" s="21" t="inlineStr">
        <is>
          <t>Dom Pedro tentou fazer a transposição do São Francisco em 1846 e não conseguiu.</t>
        </is>
      </c>
      <c r="E61" s="22" t="inlineStr">
        <is>
          <t>Verdadeiro, mas impreciso</t>
        </is>
      </c>
      <c r="F61" s="21" t="inlineStr">
        <is>
          <t>A ideia da transposição é do Império e não saiu do papel. A proposta documentada é de 1847, do cearense Marcos Antônio de Macedo, e não de 1846 nem do próprio imperador. Dom Pedro II patrocinou estudos depois disso, como o do Barão de Capanema, que concluíram que a obra era inviável na época.</t>
        </is>
      </c>
      <c r="G61" s="21" t="inlineStr">
        <is>
          <t>Média</t>
        </is>
      </c>
      <c r="H61" s="21" t="inlineStr">
        <is>
          <t>Verdadeiro, mas impreciso</t>
        </is>
      </c>
      <c r="I61" s="21" t="inlineStr">
        <is>
          <t>Sim</t>
        </is>
      </c>
      <c r="J61" s="21" t="inlineStr">
        <is>
          <t>Concordo com a pesquisa original. As fontes são jornalísticas (Agência Pública e O Povo). Não fiz busca nova porque o limite acabou; mantive o veredito com base nessas fontes e em fatos históricos conhecidos.</t>
        </is>
      </c>
      <c r="K61" s="21" t="inlineStr">
        <is>
          <t>https://apublica.org/2014/02/transposicao-um-projeto-dos-tempos-imperio/
https://mais.opovo.com.br/colunistas/erico-firmo/2020/06/26/nem-lula-nem-bolsonaro-verdadeiro-pai-transposicao-piaui-viveu-cariri.html</t>
        </is>
      </c>
    </row>
    <row r="62">
      <c r="A62" s="21" t="inlineStr">
        <is>
          <t>L05</t>
        </is>
      </c>
      <c r="B62" s="21" t="inlineStr">
        <is>
          <t>Lula</t>
        </is>
      </c>
      <c r="C62" s="21" t="inlineStr">
        <is>
          <t>00:15</t>
        </is>
      </c>
      <c r="D62" s="21" t="inlineStr">
        <is>
          <t>Sem a política de valorização do salário mínimo dos governos do PT, o mínimo seria hoje de apenas cerca de R$ 900 (em vez de ~R$ 1.600).</t>
        </is>
      </c>
      <c r="E62" s="22" t="inlineStr">
        <is>
          <t>Verdadeiro, mas impreciso</t>
        </is>
      </c>
      <c r="F62" s="21" t="inlineStr">
        <is>
          <t>O mínimo de 2026 é R$ 1.621. Uma estimativa do Dieese diz que, sem os ganhos reais de 2004 a 2019, o mínimo valeria cerca de 57% do valor efetivo. Aplicada ao valor atual, essa proporção dá algo perto de R$ 900–930. A ordem de grandeza bate, mas é uma conta aproximada, não um cálculo oficial.</t>
        </is>
      </c>
      <c r="G62" s="21" t="inlineStr">
        <is>
          <t>Média</t>
        </is>
      </c>
      <c r="H62" s="21" t="inlineStr">
        <is>
          <t>Verdadeiro, mas impreciso</t>
        </is>
      </c>
      <c r="I62" s="21" t="inlineStr">
        <is>
          <t>Sim</t>
        </is>
      </c>
      <c r="J62" s="21" t="inlineStr">
        <is>
          <t>Concordo. A metodologia da extrapolação é razoável e a pesquisa deixa claro que a conta é dela. Não pude refazer a busca porque o limite acabou. Uma ressalva: parte dos ganhos reais aconteceu fora dos governos do PT, e a regra de valorização ficou suspensa entre 2020 e 2022.</t>
        </is>
      </c>
      <c r="K62" s="21" t="inlineStr">
        <is>
          <t>https://monitormercantil.com.br/sem-aumento-real-minimo-hoje-seria-de-r-573/
https://www.dieese.org.br/notatecnica/2025/notaTec289salarioMinimo.pdf
Decreto 12.797/2025
Decreto 12.797/2025 (salário mínimo de R$ 1.621)</t>
        </is>
      </c>
    </row>
    <row r="63">
      <c r="A63" s="21" t="inlineStr">
        <is>
          <t>L06</t>
        </is>
      </c>
      <c r="B63" s="21" t="inlineStr">
        <is>
          <t>Lula</t>
        </is>
      </c>
      <c r="C63" s="21" t="inlineStr">
        <is>
          <t>00:18</t>
        </is>
      </c>
      <c r="D63" s="21" t="inlineStr">
        <is>
          <t>Foi aprovado o fim da escala 6x1.</t>
        </is>
      </c>
      <c r="E63" s="24" t="inlineStr">
        <is>
          <t>Verdadeiro</t>
        </is>
      </c>
      <c r="F63" s="21" t="inlineStr">
        <is>
          <t>Em 14/10/2026, o Senado aprovou nos dois turnos a PEC 221/2019, que acaba com a escala 6x1, por 75 votos a 1. O voto contrário foi de Hamilton Mourão (Republicanos-RS). A Câmara já tinha aprovado a PEC em 27/05/2026, por 472 a 22 no primeiro turno. O texto reduz a jornada máxima de 44 para 42 horas dois meses após a publicação e para 40 horas cerca de um ano depois. Também garante duas folgas semanais, sem redução de salário. A PEC foi aprovada pelas duas Casas e seguiu para promulgação.</t>
        </is>
      </c>
      <c r="G63" s="21" t="inlineStr">
        <is>
          <t>Alta</t>
        </is>
      </c>
      <c r="H63" s="21" t="inlineStr">
        <is>
          <t>Verdadeiro</t>
        </is>
      </c>
      <c r="I63" s="21" t="inlineStr">
        <is>
          <t>Sim</t>
        </is>
      </c>
      <c r="J63" s="21" t="inlineStr">
        <is>
          <t>REAVALIADO SEM FONTES ENVIESADAS. Saiu a observação sobre a data da promulgação, que só vinha da Gazeta do Povo, excluída. O veredito e a confiança continuam os mesmos. Revisor: Abri O Povo e confirmei o placar, a data, o número da PEC, o voto de Mourão, a aprovação na Câmara, a transição e o envio à promulgação. Ajustei a redação da transição para 'cerca de um ano após a etapa de 42 h', como diz a fonte. Não há dado vindo de fonte excluída. O resultado é coerente.</t>
        </is>
      </c>
      <c r="K63" s="21" t="inlineStr">
        <is>
          <t>https://mais.opovo.com.br/jornal/economia/2026/10/14/fim-da-escala-6x1-sem-reducao-de-salario-e-aprovado-no-senado.html</t>
        </is>
      </c>
    </row>
    <row r="64">
      <c r="A64" s="21" t="inlineStr">
        <is>
          <t>L07</t>
        </is>
      </c>
      <c r="B64" s="21" t="inlineStr">
        <is>
          <t>Lula</t>
        </is>
      </c>
      <c r="C64" s="21" t="inlineStr">
        <is>
          <t>00:22</t>
        </is>
      </c>
      <c r="D64" s="21" t="inlineStr">
        <is>
          <t>Nunca se exportou tanto; o governo abriu cerca de 700 novos mercados e teve superávit comercial recorde.</t>
        </is>
      </c>
      <c r="E64" s="22" t="inlineStr">
        <is>
          <t>Verdadeiro, mas impreciso</t>
        </is>
      </c>
      <c r="F64" s="21" t="inlineStr">
        <is>
          <t>As exportações de 2025 foram recorde da série, com US$ 348,7 bi (Poder360, com dados do MDIC). O superávit recorde foi o de 2023, de US$ 98,9 bi, também no governo Lula; depois o saldo caiu para US$ 74,2 bi (2024) e US$ 68,3 bi (2025). Os '700 mercados' vêm de uma declaração do ministro da Agricultura em 13/10/2026 sobre aberturas para produtos agropecuários, não 700 países. É um número do governo, sem lista detalhada.</t>
        </is>
      </c>
      <c r="G64" s="21" t="inlineStr">
        <is>
          <t>Alta</t>
        </is>
      </c>
      <c r="H64" s="21" t="inlineStr">
        <is>
          <t>Verdadeiro, mas impreciso</t>
        </is>
      </c>
      <c r="I64" s="21" t="inlineStr">
        <is>
          <t>Sim</t>
        </is>
      </c>
      <c r="J64" s="21" t="inlineStr">
        <is>
          <t>Concordo. Abri as fontes e elas confirmam o recorde de exportações, a queda do superávit em 2024 e 2025 e que o número de 700 é uma afirmação do ministro sobre aberturas de produtos do agro.</t>
        </is>
      </c>
      <c r="K64" s="21" t="inlineStr">
        <is>
          <t>https://www.poder360.com.br/poder-economia/balanca-comercial-atinge-superavit-de-us-683-bi-em-2025/
https://www.oliberal.com/economia/de-paula-governo-lula-abriu-700-novos-mercados-contra-241-mercados-do-governo-anterior-1.1182184
https://sbtnews.sbt.com.br/noticia/economia/balanca-comercial-tem-superavit-de-us-68-3-bilhoes-em-2025-o-terceiro-maior-da-serie
https://www.opovo.com.br/noticias/politica/2025/12/15/lula-destaca-abertura-de-500-mercados-internacionais-para-agropecuaria.html</t>
        </is>
      </c>
    </row>
    <row r="65">
      <c r="A65" s="21" t="inlineStr">
        <is>
          <t>L08</t>
        </is>
      </c>
      <c r="B65" s="21" t="inlineStr">
        <is>
          <t>Lula</t>
        </is>
      </c>
      <c r="C65" s="21" t="inlineStr">
        <is>
          <t>00:27</t>
        </is>
      </c>
      <c r="D65" s="21" t="inlineStr">
        <is>
          <t>Lula tinha acabado com a fome no país (saída do Mapa da Fome) e quando voltou em 2023 havia 33 milhões de pessoas passando fome.</t>
        </is>
      </c>
      <c r="E65" s="22" t="inlineStr">
        <is>
          <t>Verdadeiro, mas impreciso</t>
        </is>
      </c>
      <c r="F65" s="21" t="inlineStr">
        <is>
          <t>O Brasil saiu do Mapa da Fome da FAO em 2014, no governo do PT. O número de 33 milhões de pessoas passando fome vem do 2º Inquérito da Rede Penssan, com dados coletados de nov/2021 a abr/2022, antes de 2023. Sair do Mapa da Fome não quer dizer que a fome acabou, e outras metodologias (FAO) dão números menores.</t>
        </is>
      </c>
      <c r="G65" s="21" t="inlineStr">
        <is>
          <t>Alta</t>
        </is>
      </c>
      <c r="H65" s="21" t="inlineStr">
        <is>
          <t>Verdadeiro, mas impreciso</t>
        </is>
      </c>
      <c r="I65" s="21" t="inlineStr">
        <is>
          <t>Sim</t>
        </is>
      </c>
      <c r="J65" s="21" t="inlineStr">
        <is>
          <t>Abri o Correio Braziliense e ele confirma 33 milhões, 125,2 milhões em insegurança alimentar e coleta entre nov/2021 e abr/2022 (12.745 domicílios). Acrescentei que o dado é anterior à posse de 2023. O limite de buscas acabou e não achei de novo a fonte da estimativa da FAO de cerca de 15 milhões. Ela vem da pesquisa original e da memória.</t>
        </is>
      </c>
      <c r="K65" s="21" t="inlineStr">
        <is>
          <t>https://www.correiobraziliense.com.br/brasil/2022/06/5013817-33-milhoes-de-pessoas-passam-fome-no-brasil-aponta-pesquisa.html
https://www.diariodepernambuco.com.br/noticia/brasil/2022/06/33-milhoes-de-pessoas-passam-fome-no-brasil-aponta-pesquisa.html</t>
        </is>
      </c>
    </row>
    <row r="66">
      <c r="A66" s="21" t="inlineStr">
        <is>
          <t>L09</t>
        </is>
      </c>
      <c r="B66" s="21" t="inlineStr">
        <is>
          <t>Lula</t>
        </is>
      </c>
      <c r="C66" s="21" t="inlineStr">
        <is>
          <t>00:28</t>
        </is>
      </c>
      <c r="D66" s="21" t="inlineStr">
        <is>
          <t>Na Argentina de Milei a pobreza chegou a 40% e o povo está comendo carne de burro.</t>
        </is>
      </c>
      <c r="E66" s="23" t="inlineStr">
        <is>
          <t>Exagerado</t>
        </is>
      </c>
      <c r="F66" s="21" t="inlineStr">
        <is>
          <t>Pelos dados do INDEC citados pela imprensa argentina, a pobreza chegou a 52,9% no 1º semestre de 2024, nos primeiros seis meses do governo Milei. Depois caiu para 38,1% no 2º semestre de 2024, 31,6% no 1º semestre de 2025 e 28,2% no 2º semestre de 2025, o menor nível desde o 1º semestre de 2018 (27,3%). Os 40% citados por Lula já ficaram para trás: hoje a taxa está abaixo de 30%. A carne de burro é uma iniciativa experimental de um produtor de Chubut, na Patagônia, que começou a ser vendida em abril de 2026. O primeiro lote foi de oito meias carcaças, de quatro animais, vendidas em um único açougue local. A venda fica restrita ao mercado local porque falta frigorífico com habilitação nacional. Não se trata de consumo generalizado.</t>
        </is>
      </c>
      <c r="G66" s="21" t="inlineStr">
        <is>
          <t>Alta</t>
        </is>
      </c>
      <c r="H66" s="21" t="inlineStr">
        <is>
          <t>Exagerado</t>
        </is>
      </c>
      <c r="I66" s="21" t="inlineStr">
        <is>
          <t>Sim</t>
        </is>
      </c>
      <c r="J66" s="21" t="inlineStr">
        <is>
          <t>REAVALIADO SEM FONTES ENVIESADAS. A Gazeta do Povo (excluída) deixou de ser usada. O El Diario (Equador) confirma que a iniciativa da carne de burro é pequena e local, e o La Capital e a Bloomberg Línea confirmam a série do INDEC. O veredito continua o mesmo. Revisor: Abri o La Capital, a Bloomberg Línea e o El Diario: os três confirmam os números e os detalhes citados. Nenhum dado depende de fonte excluída.</t>
        </is>
      </c>
      <c r="K66" s="21" t="inlineStr">
        <is>
          <t>https://www.lacapital.com.ar/segun-el-indec-la-pobreza-cayo-al-282-el-segundo-semestre-del-2025-n10263667.html
https://www.forbesargentina.com/money/indec-revelo-pobreza-282-segunda-mitad-2025-quedo-debajo-30-n88562/amp
https://www.c5n.com/economia/pobreza-indigencia-indec-segundo-semestre-31-marzo-2026
https://www.bloomberglinea.com/latinoamerica/argentina/pobreza-bajo-en-argentina-durante-el-primer-semestre-del-2025-segun-el-indec/</t>
        </is>
      </c>
    </row>
    <row r="67">
      <c r="A67" s="21" t="inlineStr">
        <is>
          <t>L10</t>
        </is>
      </c>
      <c r="B67" s="21" t="inlineStr">
        <is>
          <t>Lula</t>
        </is>
      </c>
      <c r="C67" s="21" t="inlineStr">
        <is>
          <t>00:28</t>
        </is>
      </c>
      <c r="D67" s="21" t="inlineStr">
        <is>
          <t>A região Sul é a que proporcionalmente tem mais aposentados no Brasil.</t>
        </is>
      </c>
      <c r="E67" s="24" t="inlineStr">
        <is>
          <t>Verdadeiro</t>
        </is>
      </c>
      <c r="F67" s="21" t="inlineStr">
        <is>
          <t>Pela PNAD Contínua 2025 do IBGE, o Rio Grande do Sul tem a maior proporção de aposentados e pensionistas do país (20,3%) e Roraima a menor (5,9%); a média nacional é de 13,8%. Um recorte regional da FIPE, com dados da PNAD de 2021, também põe o Sul na frente: 15,7%, contra 13,8% no Sudeste.</t>
        </is>
      </c>
      <c r="G67" s="21" t="inlineStr">
        <is>
          <t>Alta</t>
        </is>
      </c>
      <c r="H67" s="21" t="inlineStr">
        <is>
          <t>Verdadeiro</t>
        </is>
      </c>
      <c r="I67" s="21" t="inlineStr">
        <is>
          <t>Não</t>
        </is>
      </c>
      <c r="J67" s="21" t="inlineStr">
        <is>
          <t>RECHECADO (2ª rodada). Os agentes da 2ª rodada esgotaram o limite de buscas; a rechecagem foi concluída na verificação final, com buscas próprias em portais de notícias e dados oficiais.</t>
        </is>
      </c>
      <c r="K67" s="21" t="inlineStr">
        <is>
          <t>https://diariodocomercio.com.br/economia/ibge-aposentadorias-pensoes-2025/
https://www.portaltela.com/noticias/economia/2026/05/08/aposentadorias-e-pensoes-chegam-a-138-da-populacao-no-brasil-que-envelhece/
https://downloads.fipe.org.br/publicacoes/bif/bif505-8-15.pdf</t>
        </is>
      </c>
    </row>
    <row r="68">
      <c r="A68" s="21" t="inlineStr">
        <is>
          <t>L11</t>
        </is>
      </c>
      <c r="B68" s="21" t="inlineStr">
        <is>
          <t>Lula</t>
        </is>
      </c>
      <c r="C68" s="21" t="inlineStr">
        <is>
          <t>00:34</t>
        </is>
      </c>
      <c r="D68" s="21" t="inlineStr">
        <is>
          <t>Bolsonaro apareceu na televisão rindo e imitando pessoa morrendo asfixiada por falta de oxigênio (crise de Manaus).</t>
        </is>
      </c>
      <c r="E68" s="22" t="inlineStr">
        <is>
          <t>Verdadeiro, mas impreciso</t>
        </is>
      </c>
      <c r="F68" s="21" t="inlineStr">
        <is>
          <t>Durante a pandemia, Bolsonaro imitou numa live uma pessoa com falta de ar, e o episódio foi amplamente noticiado. Mas a crise de oxigênio de Manaus foi em 14/01/2021, e a cobertura daquele dia mostra só ele dizendo 'Está complicada a situação lá' e defendendo o tratamento precoce, sem nenhuma imitação. Ligar a imitação a Manaus e dizer que ele estava 'rindo' são detalhes que não consegui confirmar.</t>
        </is>
      </c>
      <c r="G68" s="21" t="inlineStr">
        <is>
          <t>Média</t>
        </is>
      </c>
      <c r="H68" s="21" t="inlineStr">
        <is>
          <t>Verdadeiro, mas impreciso</t>
        </is>
      </c>
      <c r="I68" s="21" t="inlineStr">
        <is>
          <t>Sim</t>
        </is>
      </c>
      <c r="J68" s="21" t="inlineStr">
        <is>
          <t>Abri as duas fontes. Elas tratam de Manaus (14 e 15/01/2021) e não falam de imitação, então servem só para mostrar que não houve imitação naquele momento. O limite de buscas acabou e não consegui uma reportagem que confirme a data da imitação (março de 2021, pela memória). A existência do episódio continua sem fonte aberta nesta revisão.</t>
        </is>
      </c>
      <c r="K68" s="21" t="inlineStr">
        <is>
          <t>https://www.correiobraziliense.com.br/politica/2021/01/4900426-esta-complicada-a-situacao-la-resume-bolsonaro-sobre-manaus.html
https://www.poder360.com.br/brasil/politicos-e-artistas-cobram-governo-por-falta-de-oxigenio-em-manaus/</t>
        </is>
      </c>
    </row>
    <row r="69">
      <c r="A69" s="21" t="inlineStr">
        <is>
          <t>L12</t>
        </is>
      </c>
      <c r="B69" s="21" t="inlineStr">
        <is>
          <t>Lula</t>
        </is>
      </c>
      <c r="C69" s="21" t="inlineStr">
        <is>
          <t>00:38</t>
        </is>
      </c>
      <c r="D69" s="21" t="inlineStr">
        <is>
          <t>O ministro do Meio Ambiente de Bolsonaro defendia 'passar a boiada' e o governo Bolsonaro paralisou o Fundo Amazônia, que Lula reativou.</t>
        </is>
      </c>
      <c r="E69" s="24" t="inlineStr">
        <is>
          <t>Verdadeiro</t>
        </is>
      </c>
      <c r="F69" s="21" t="inlineStr">
        <is>
          <t>Ricardo Salles falou em 'passar a boiada' na reunião ministerial de 22/04/2020. O Decreto 9.759/2019 extinguiu os comitês do Fundo Amazônia (COFA e CTFA), e novos projetos ficaram travados com cerca de R$ 3,2 bilhões parados. O STF mandou reativar o fundo (ADO 59, 3/11/2022, por 10 a 1), e a reativação veio por decreto no início do governo Lula, em jan/2023.</t>
        </is>
      </c>
      <c r="G69" s="21" t="inlineStr">
        <is>
          <t>Alta</t>
        </is>
      </c>
      <c r="H69" s="21" t="inlineStr">
        <is>
          <t>Verdadeiro</t>
        </is>
      </c>
      <c r="I69" s="21" t="inlineStr">
        <is>
          <t>Sim</t>
        </is>
      </c>
      <c r="J69" s="21" t="inlineStr">
        <is>
          <t>Abri o SBT News, que confirma ADO 59, a votação de 10 a 1, os R$ 3,2 bilhões e o Decreto 9.759/2019. A CNN confirma a extinção do comitê e o bloqueio dos repasses de Noruega e Alemanha, mas não cita o valor. Há um contexto que faltou: em 2020 Mourão anunciou que reativaria o fundo, mas ele não voltou a funcionar de fato.</t>
        </is>
      </c>
      <c r="K69" s="21" t="inlineStr">
        <is>
          <t>https://sbtnews.sbt.com.br/noticia/brasil/229263-stf-ordena-governo-federal-a-reativar-fundo-amazonia
https://www.cnnbrasil.com.br/nacional/mourao-reativa-fundo-amazonia-e-retira-salles-do-comando/
https://congressoemfoco.com.br/noticia/8958/tecnicos-do-tcu-recomendam-multa-de-ate-r-79-mil-para-salles-por-desmonte-do-fundo-amazonia</t>
        </is>
      </c>
    </row>
    <row r="70">
      <c r="A70" s="21" t="inlineStr">
        <is>
          <t>L13</t>
        </is>
      </c>
      <c r="B70" s="21" t="inlineStr">
        <is>
          <t>Lula</t>
        </is>
      </c>
      <c r="C70" s="21" t="inlineStr">
        <is>
          <t>00:40</t>
        </is>
      </c>
      <c r="D70" s="21" t="inlineStr">
        <is>
          <t>A transposição do São Francisco é a maior obra hídrica em funcionamento no mundo, com quase 1.700 km de canais e 15.000 km de adutoras.</t>
        </is>
      </c>
      <c r="E70" s="23" t="inlineStr">
        <is>
          <t>Exagerado</t>
        </is>
      </c>
      <c r="F70" s="21" t="inlineStr">
        <is>
          <t>Pelo Ministério da Integração (MIDR), o Projeto São Francisco tem 477 km de extensão nos eixos, mais ramais como o do Apodi (115,5 km), longe de 1.700 km de canais. A página oficial não chama a obra de maior do mundo, nem mesmo de maior do país, e não confirma os 15.000 km de adutoras.</t>
        </is>
      </c>
      <c r="G70" s="21" t="inlineStr">
        <is>
          <t>Média</t>
        </is>
      </c>
      <c r="H70" s="21" t="inlineStr">
        <is>
          <t>Exagerado</t>
        </is>
      </c>
      <c r="I70" s="21" t="inlineStr">
        <is>
          <t>Sim</t>
        </is>
      </c>
      <c r="J70" s="21" t="inlineStr">
        <is>
          <t>Abri a página do MIDR e ela confirma os 477 km e o Ramal do Apodi com 115,5 km. Correção: a página não usa nem a expressão 'maior obra hídrica do país' que a pesquisa original atribuiu a ela. A obra é grande de fato, mas os números ditos estão inflados.</t>
        </is>
      </c>
      <c r="K70" s="21" t="inlineStr">
        <is>
          <t>https://www.gov.br/mdr/pt-br/assuntos/seguranca-hidrica/projeto-sao-francisco</t>
        </is>
      </c>
    </row>
    <row r="71">
      <c r="A71" s="21" t="inlineStr">
        <is>
          <t>L14</t>
        </is>
      </c>
      <c r="B71" s="21" t="inlineStr">
        <is>
          <t>Lula</t>
        </is>
      </c>
      <c r="C71" s="21" t="inlineStr">
        <is>
          <t>00:41</t>
        </is>
      </c>
      <c r="D71" s="21" t="inlineStr">
        <is>
          <t>O governo levou supercomputador para Natal, computador quântico para a Paraíba, um campus do ITA para o Ceará (estado que mais aprova no ITA) e fábricas de automóveis para Pernambuco, Bahia e Ceará.</t>
        </is>
      </c>
      <c r="E71" s="22" t="inlineStr">
        <is>
          <t>Verdadeiro, mas impreciso</t>
        </is>
      </c>
      <c r="F71" s="21" t="inlineStr">
        <is>
          <t>Revisão independente. Fiz 3 consultas WebSearch: duas foram respondidas e a terceira foi recusada porque o limite de buscas da sessão se esgotou. Depois disso usei só WebFetch. (1) Supercomputador em Natal: abri a fonte do outro agente e ela confirma o que ele disse. A Agência Brasil (20/08/2026) informa que o Parque Científico e Tecnológico Augusto Severo, da UFRN, em Macaíba (Grande Natal), foi escolhido para receber o supercomputador de IA do PBIA. O custo é de pouco mais de R$ 1 bilhão, pago pelo FNDCT, e o edital ainda seria publicado no DOU. Ou seja, o equipamento foi anunciado, mas não instalado. Dizer que o governo "levou" é antecipar o resultado. (2) Computador quântico na Paraíba: esta é a novidade em relação às rodadas anteriores, e o fato tem base. Segundo o portal Movimento Econômico (20/07/2026), que cita o MCTI, o centro Ciquanta, na Estação das Artes, em João Pessoa, terá dois computadores quânticos (de 20 e 100 qubits). O projeto foi feito com transferência de tecnologia da estatal chinesa CETC. O investimento é de R$ 200 milhões: R$ 140 milhões do governo da Paraíba e R$ 60 milhões do governo federal, em cooperação firmada em novembro de 2025. A montagem estava prevista até outubro de 2026, e não encontrei confirmação de que o centro já funciona. A maior parte do dinheiro é estadual, então o crédito é compartilhado e o equipamento pode ainda não estar operando. (3) ITA no Ceará: confirmado. A Agência Brasil (08/10/2023) registra o anúncio de uma unidade do ITA em Fortaleza e um levantamento segundo o qual mais de 36% dos aprovados estudaram em Fortaleza. Isso sustenta a ideia de que o Ceará é destaque no ITA, embora o texto não diga literalmente que é "o estado que mais aprova". (4) Fábricas de automóveis: a BYD em Camaçari (BA) foi inaugurada com a presença de Lula em 09/10/2025, com investimento de R$ 5,5 bilhões, segundo a cobertura jornalística. A Stellantis/Jeep em Goiana (PE) foi atraída em 2010, no segundo mandato de Lula, e inaugurada em 2015, no governo Dilma. Não é uma conquista do mandato atual, mas está ligada a governos do PT. Sobre o Ceará (Horizonte), não consegui reconfirmar nesta rodada, porque a busca foi bloqueada. Considerei válida a confirmação das rodadas anteriores. Conclusão: concordo com o veredito do outro agente. Ajusto apenas o item da Paraíba, que agora tem base em fonte jornalística: o projeto existe, tem dinheiro federal e está em implantação. Os quatro elementos da fala têm lastro. As imprecisões são falar em "levou" para coisas ainda em implantação (supercomputador e computador quântico), o crédito compartilhado com o governo estadual na Paraíba e a fábrica de Pernambuco ser de mandatos anteriores do PT.</t>
        </is>
      </c>
      <c r="G71" s="21" t="inlineStr">
        <is>
          <t>Média</t>
        </is>
      </c>
      <c r="H71" s="21" t="inlineStr">
        <is>
          <t>Verdadeiro, mas impreciso</t>
        </is>
      </c>
      <c r="I71" s="21" t="inlineStr">
        <is>
          <t>Sim</t>
        </is>
      </c>
      <c r="J71" s="21" t="inlineStr">
        <is>
          <t>RECHECADO (3ª rodada). Concordo com o veredito "Verdadeiro, mas impreciso". Correção em relação ao outro agente: o computador quântico na Paraíba agora tem base jornalística. É o centro Ciquanta, em João Pessoa, com R$ 60 milhões federais e R$ 140 milhões estaduais e montagem prevista até outubro de 2026. Na fonte da Agência Brasil sobre o supercomputador, os dados alegados pelo outro agente conferem. A terceira consulta WebSearch foi recusada por limite de buscas, por isso não reconfirmei a fábrica de Horizonte (CE). Descartei as fontes que eram só páginas de tags da Agência Brasil e não continham o fato. A confiança fica em Média porque não há confirmação de que o computador quântico está operando e porque a fábrica do Ceará não foi reconfirmada.</t>
        </is>
      </c>
      <c r="K71" s="21" t="inlineStr">
        <is>
          <t>https://agenciabrasil.ebc.com.br/economia/noticia/2026-08/rn-vai-abrigar-supercomputador-brasileiro-de-inteligencia-artificial
https://movimentoeconomico.com.br/tecnologia/2026/07/20/contagem-regressiva-computadores-quanticos-ficam-prontos-ate-outubro-na-paraiba/
https://movimentoeconomico.com.br/tecnologia/2026/06/26/paraiba-quantica-parceria-com-china-inicia-nova-era-computacional-no-brasil/
https://agenciabrasil.ebc.com.br/geral/noticia/2023-10/ita-deve-impulsionar-desenvolvimento-tecnologico-no-nordeste</t>
        </is>
      </c>
    </row>
    <row r="72">
      <c r="A72" s="21" t="inlineStr">
        <is>
          <t>L15</t>
        </is>
      </c>
      <c r="B72" s="21" t="inlineStr">
        <is>
          <t>Lula</t>
        </is>
      </c>
      <c r="C72" s="21" t="inlineStr">
        <is>
          <t>00:43</t>
        </is>
      </c>
      <c r="D72" s="21" t="inlineStr">
        <is>
          <t>O governo fez 14 novos hospitais e 40 novos institutos federais/universidades no Nordeste.</t>
        </is>
      </c>
      <c r="E72" s="23" t="inlineStr">
        <is>
          <t>Exagerado</t>
        </is>
      </c>
      <c r="F72" s="21" t="inlineStr">
        <is>
          <t>Lula disse que o governo 'fez' esses hospitais e institutos. Nenhuma fonte achada mostra isso como obra entregue. Os números dele parecem misturar anúncios diferentes. No Novo PAC da Educação (Folha de Pernambuco), o '14' do Nordeste são 14 hospitais universitários que já existem e vão receber até R$ 572 milhões. Não são hospitais novos. Dos 8 novos hospitais universitários anunciados no país, só 1 fica no Nordeste (Cariri, CE). Dos 10 novos campi de universidade, 4 são no Nordeste. Os '40 institutos' batem com o anúncio de março de 2024: 100 novos campi de institutos federais, 38 deles no Nordeste, com obras previstas para terminar no fim de 2026 (Correio da Manhã). Ou seja, era uma promessa de construção. Não achei fonte dizendo que essas unidades estão prontas em outubro de 2026. Uma matéria de março de 2026 mostra execução lenta das obras de educação do governo, mas trata da educação básica. Limite: o teto de buscas na web da sessão acabou na primeira consulta desta rodada. Só consegui abrir as páginas já conhecidas e não deu para checar quantos campi de institutos foram entregues em 2025/2026.</t>
        </is>
      </c>
      <c r="G72" s="21" t="inlineStr">
        <is>
          <t>Média</t>
        </is>
      </c>
      <c r="H72" s="21" t="inlineStr">
        <is>
          <t>Exagerado</t>
        </is>
      </c>
      <c r="I72" s="21" t="inlineStr">
        <is>
          <t>Sim</t>
        </is>
      </c>
      <c r="J72" s="21" t="inlineStr">
        <is>
          <t>RECHECADO (2ª rodada). Abri as fontes da Folha PE e do Correio da Manhã, e elas confirmam o que o outro agente disse (14 hospitais já existentes; 38 novos campi de institutos no Nordeste, previstos para 2026). Mantenho o veredito. A confiança fica Média porque não houve buscas para checar quantas obras foram entregues em 2025/2026.</t>
        </is>
      </c>
      <c r="K72" s="21" t="inlineStr">
        <is>
          <t>https://www.folhape.com.br/noticias/novo-pac-educacao/341415/
https://www.correiodamanha.com.br/nacional/nordeste/2024/03/120617-nordeste-tera-maior-parte-dos-institutos-federais.html
https://sbtnews.sbt.com.br/noticia/politica/governo-lula-anuncia-criacao-de-100-novos-institutos-federais</t>
        </is>
      </c>
    </row>
    <row r="73">
      <c r="A73" s="21" t="inlineStr">
        <is>
          <t>L16</t>
        </is>
      </c>
      <c r="B73" s="21" t="inlineStr">
        <is>
          <t>Lula</t>
        </is>
      </c>
      <c r="C73" s="21" t="inlineStr">
        <is>
          <t>00:48</t>
        </is>
      </c>
      <c r="D73" s="21" t="inlineStr">
        <is>
          <t>Flávio Bolsonaro foi o único deputado estadual do RJ a votar contra o aumento da licença-maternidade.</t>
        </is>
      </c>
      <c r="E73" s="24" t="inlineStr">
        <is>
          <t>Verdadeiro</t>
        </is>
      </c>
      <c r="F73" s="21" t="inlineStr">
        <is>
          <t>O próprio Flávio confirmou no debate (00:48) que votou contra a ampliação da licença-maternidade quando era deputado estadual, dizendo que hoje votaria diferente. Segundo reportagem do A Crítica sobre o tema, em 2009 a Alerj aprovou a ampliação de quatro para seis meses da licença-maternidade das servidoras estaduais, e Flávio foi o único voto contrário. Na época, ele justificou que a medida poderia reduzir as vagas de emprego para mulheres.</t>
        </is>
      </c>
      <c r="G73" s="21" t="inlineStr">
        <is>
          <t>Média</t>
        </is>
      </c>
      <c r="H73" s="21" t="inlineStr">
        <is>
          <t>Verdadeiro</t>
        </is>
      </c>
      <c r="I73" s="21" t="inlineStr">
        <is>
          <t>Sim</t>
        </is>
      </c>
      <c r="J73" s="21" t="inlineStr">
        <is>
          <t>VERSÃO COM FONTES FILTRADAS: a reportagem do ICL Notícias foi retirada. O veredito se apoia na admissão do próprio Flávio no debate e na reportagem do A Crítica; o detalhe "único voto" não foi conferido em documento oficial da Alerj, por isso a confiança é média.</t>
        </is>
      </c>
      <c r="K73" s="21" t="inlineStr">
        <is>
          <t>https://acritica.net/politica/debate-lula-flavio-licenca-maternidade-2009-alerj/
Transcrição do próprio debate (00:48): Flávio admite o voto contrário</t>
        </is>
      </c>
    </row>
    <row r="74">
      <c r="A74" s="21" t="inlineStr">
        <is>
          <t>L17</t>
        </is>
      </c>
      <c r="B74" s="21" t="inlineStr">
        <is>
          <t>Lula</t>
        </is>
      </c>
      <c r="C74" s="21" t="inlineStr">
        <is>
          <t>00:49</t>
        </is>
      </c>
      <c r="D74" s="21" t="inlineStr">
        <is>
          <t>Flávio Bolsonaro chamou o Bolsa Família de 'Bolsa Farelo'.</t>
        </is>
      </c>
      <c r="E74" s="24" t="inlineStr">
        <is>
          <t>Verdadeiro</t>
        </is>
      </c>
      <c r="F74" s="21" t="inlineStr">
        <is>
          <t>Segundo levantamento do Estadão republicado pelo Diário do Grande ABC, Flávio chamou de 'bolsa-farelo' o programa estadual Renda Melhor em novembro de 2011 e o Bolsa Família em 2013, em posts no X. Ele apagou esses posts em 2026.</t>
        </is>
      </c>
      <c r="G74" s="21" t="inlineStr">
        <is>
          <t>Alta</t>
        </is>
      </c>
      <c r="H74" s="21" t="inlineStr">
        <is>
          <t>Verdadeiro</t>
        </is>
      </c>
      <c r="I74" s="21" t="inlineStr">
        <is>
          <t>Sim</t>
        </is>
      </c>
      <c r="J74" s="21" t="inlineStr">
        <is>
          <t>Confirmei na matéria do DGABC/Estadão. Um detalhe de contexto: o post de 2011 se referia ao Renda Melhor, programa complementar ao Bolsa Família. O de 2013 associava o termo ao programa federal do PT.</t>
        </is>
      </c>
      <c r="K74" s="21" t="inlineStr">
        <is>
          <t>https://www.dgabc.com.br/Noticia/4353680/flavio-apaga-posts-em-que-criticava-bolsa-familia-e-chamava-beneficio-de-bolsa-farelo
https://www.jb.com.br/brasil/politica/2026/10/1061287-flavio-bolsonaro-apaga-das-redes-sociais-postagens-nas-quais-chamava-o-bolsa-familia-de-bolsa-farelo.html
https://www.diariodepernambuco.com.br/politica/2026/06/11717089-de-bolsa-farelo-a-direito-flavio-bolsonaro-passou-de-critico-a-defensor-do-bolsa-familia.html</t>
        </is>
      </c>
    </row>
    <row r="75">
      <c r="A75" s="21" t="inlineStr">
        <is>
          <t>L18</t>
        </is>
      </c>
      <c r="B75" s="21" t="inlineStr">
        <is>
          <t>Lula</t>
        </is>
      </c>
      <c r="C75" s="21" t="inlineStr">
        <is>
          <t>00:55</t>
        </is>
      </c>
      <c r="D75" s="21" t="inlineStr">
        <is>
          <t>O Brasil só teve sua primeira universidade cerca de 420 anos depois do descobrimento.</t>
        </is>
      </c>
      <c r="E75" s="24" t="inlineStr">
        <is>
          <t>Verdadeiro</t>
        </is>
      </c>
      <c r="F75" s="21" t="inlineStr">
        <is>
          <t>A primeira universidade criada pelo governo federal foi a Universidade do Rio de Janeiro, atual UFRJ, em 1920. Isso dá cerca de 420 anos depois de 1500. Antes houve apenas faculdades isoladas e tentativas regionais de curta duração.</t>
        </is>
      </c>
      <c r="G75" s="21" t="inlineStr">
        <is>
          <t>Alta</t>
        </is>
      </c>
      <c r="H75" s="21" t="inlineStr">
        <is>
          <t>Verdadeiro</t>
        </is>
      </c>
      <c r="I75" s="21" t="inlineStr">
        <is>
          <t>Sim</t>
        </is>
      </c>
      <c r="J75" s="21" t="inlineStr">
        <is>
          <t>A Agência Brasil confirma o ano de 1920, mas o trecho que li não cita o decreto. O número do decreto (14.343) que a pesquisa original apresenta não foi verificado por mim. Descartei a fonte Tupi FM, que é irrelevante.</t>
        </is>
      </c>
      <c r="K75" s="21" t="inlineStr">
        <is>
          <t>https://agenciabrasil.ebc.com.br/educacao/noticia/2020-09/ufrj-maior-universidade-do-brasil-completa-100-anos
https://www.tupi.fm/?p=429759</t>
        </is>
      </c>
    </row>
    <row r="76">
      <c r="A76" s="21" t="inlineStr">
        <is>
          <t>L19</t>
        </is>
      </c>
      <c r="B76" s="21" t="inlineStr">
        <is>
          <t>Lula</t>
        </is>
      </c>
      <c r="C76" s="21" t="inlineStr">
        <is>
          <t>01:01</t>
        </is>
      </c>
      <c r="D76" s="21" t="inlineStr">
        <is>
          <t>O governo concedeu perdão de quase R$ 15 bilhões em dívidas ativas para cerca de 4,5 milhões de devedores (MEI).</t>
        </is>
      </c>
      <c r="E76" s="22" t="inlineStr">
        <is>
          <t>Verdadeiro, mas impreciso</t>
        </is>
      </c>
      <c r="F76" s="21" t="inlineStr">
        <is>
          <t>O perdão é real: Lula sancionou em 21/10/2026 o PLP 186/2026, que perdoa dívidas de MEIs. Os números oficiais, porém, são diferentes dos citados. A Secom fala em mais de 3,6 milhões de microempreendedores e mais de R$ 18,7 bilhões. A estimativa anterior do governo, sobre a dívida ativa, era de cerca de R$ 12,6 bilhões. Nenhuma fonte fala em 4,5 milhões nem em R$ 15 bilhões.</t>
        </is>
      </c>
      <c r="G76" s="21" t="inlineStr">
        <is>
          <t>Média</t>
        </is>
      </c>
      <c r="H76" s="21" t="inlineStr">
        <is>
          <t>Verdadeiro, mas impreciso</t>
        </is>
      </c>
      <c r="I76" s="21" t="inlineStr">
        <is>
          <t>Sim</t>
        </is>
      </c>
      <c r="J76" s="21" t="inlineStr">
        <is>
          <t>Confirmei a sanção, os 3,6 milhões de beneficiários e os R$ 18,7 bilhões (DGABC/Secom) e os R$ 12,6 bilhões (O Liberal/Ministério). Na sanção, o próprio Lula falou em 'quase 4 milhões'. Os 4,5 milhões podem ser erro da transcrição automática, mas os números continuam inexatos. Descartei a Agência Sebrae como fonte principal, porque não é portal jornalístico nem órgão de governo.</t>
        </is>
      </c>
      <c r="K76" s="21" t="inlineStr">
        <is>
          <t>https://www.dgabc.com.br/Noticia/4354024/sancionada-lei-que-perdoa-divida-e-aumenta-limite-de-mei
https://www.oliberal.com/economia/perd-o-de-dividas-pode-beneficiar-93-mil-meis-no-para-diz-governo-federal-1.1182244
https://movimentoeconomico.com.br/trabalho/2026/10/21/governo-federal-sanciona-perdao-de-dividas-e-teto-de-ate-r-140-mil-para-meis/
https://agenciasebrae.com.br/economia-e-politica/perdao-de-dividas-do-mei-veja-como-funcionara-a-medida-e-se-voce-podera-ser-contemplado/</t>
        </is>
      </c>
    </row>
    <row r="77">
      <c r="A77" s="21" t="inlineStr">
        <is>
          <t>L20</t>
        </is>
      </c>
      <c r="B77" s="21" t="inlineStr">
        <is>
          <t>Lula</t>
        </is>
      </c>
      <c r="C77" s="21" t="inlineStr">
        <is>
          <t>01:02</t>
        </is>
      </c>
      <c r="D77" s="21" t="inlineStr">
        <is>
          <t>Lula herdou a Selic em 13,75%; em seus mandatos anteriores manteve o mesmo presidente do Banco Central por 8 anos, enquanto FHC trocou quatro vezes.</t>
        </is>
      </c>
      <c r="E77" s="22" t="inlineStr">
        <is>
          <t>Verdadeiro, mas impreciso</t>
        </is>
      </c>
      <c r="F77" s="21" t="inlineStr">
        <is>
          <t>A Selic estava em 13,75% quando Lula assumiu, em janeiro de 2023. Henrique Meirelles presidiu o Banco Central durante os dois mandatos anteriores de Lula (2003-2010). Sob FHC, o BC teve quatro presidentes (Pérsio Arida, Gustavo Loyola, Gustavo Franco e Armínio Fraga). Isso dá três trocas, ou quatro se contar a saída de Pedro Malan no início de 1995. A essência está correta, mas a contagem é imprecisa.</t>
        </is>
      </c>
      <c r="G77" s="21" t="inlineStr">
        <is>
          <t>Média</t>
        </is>
      </c>
      <c r="H77" s="21" t="inlineStr">
        <is>
          <t>Verdadeiro, mas impreciso</t>
        </is>
      </c>
      <c r="I77" s="21" t="inlineStr">
        <is>
          <t>Sim</t>
        </is>
      </c>
      <c r="J77" s="21" t="inlineStr">
        <is>
          <t>Não consegui confirmar estes dados numa fonte: a página do BCB não trouxe o valor e a galeria de presidentes deu erro 404. O limite de buscas também estava esgotado. Os fatos são amplamente conhecidos e concordo com o veredito. Acrescento a nuance de que contar a transição de Malan pode justificar 'quatro'.</t>
        </is>
      </c>
      <c r="K77" s="21" t="inlineStr">
        <is>
          <t>https://www.bcb.gov.br/controleinflacao/historicotaxasjuros
https://www.bcb.gov.br</t>
        </is>
      </c>
    </row>
    <row r="78">
      <c r="A78" s="21" t="inlineStr">
        <is>
          <t>L21</t>
        </is>
      </c>
      <c r="B78" s="21" t="inlineStr">
        <is>
          <t>Lula</t>
        </is>
      </c>
      <c r="C78" s="21" t="inlineStr">
        <is>
          <t>01:03</t>
        </is>
      </c>
      <c r="D78" s="21" t="inlineStr">
        <is>
          <t>A economia não crescia acima de 3% desde que Lula deixou a presidência em 2010, e voltou a crescer nesse ritmo no seu governo.</t>
        </is>
      </c>
      <c r="E78" s="25" t="inlineStr">
        <is>
          <t>Falso</t>
        </is>
      </c>
      <c r="F78" s="21" t="inlineStr">
        <is>
          <t>Depois de 2010, o PIB cresceu mais de 3% também em outros governos. Em 2011, com Dilma, o crescimento foi de 3,9% na série revisada do IBGE. Em 2021, com Bolsonaro, foi de 4,8%: o IBGE revisou o número de 5,0% para 4,8%, e esse ano foi um rebote depois da pandemia. A parte de que a economia voltou a crescer acima de 3% no atual governo procede: 3,2% em 2023 e 3,4% em 2024, a maior alta desde 2021.</t>
        </is>
      </c>
      <c r="G78" s="21" t="inlineStr">
        <is>
          <t>Alta</t>
        </is>
      </c>
      <c r="H78" s="21" t="inlineStr">
        <is>
          <t>Falso</t>
        </is>
      </c>
      <c r="I78" s="21" t="inlineStr">
        <is>
          <t>Sim</t>
        </is>
      </c>
      <c r="J78" s="21" t="inlineStr">
        <is>
          <t>REAVALIADO SEM FONTES ENVIESADAS. A Jovem Pan (excluída) foi substituída pelo Metrópoles para o PIB de 2021 (4,8%) e pela Agência Brasil para o de 2011 (3,9% na série revisada, antes 'cerca de 4,0%'). O veredito continua o mesmo. Revisor: Retirei a Agência Gov da lista de fontes: a página está desativada por causa da legislação eleitoral e não pôde ser confirmada. Também retirei a Exame, que não foi conferida. O Metrópoles confirma o PIB de 2021 (de 5,0% revisado para 4,8%), e a Agência Brasil confirma os 3,9% de 2011. O Congresso em Foco confirma 3,2% em 2023 e 3,4% em 2024, o maior desde 2021.</t>
        </is>
      </c>
      <c r="K78" s="21" t="inlineStr">
        <is>
          <t>https://www.congressoemfoco.com.br/noticia/106767/pib-brasileiro-cresceu-3-4-em-2024-diz-ibge
https://sbtnews.sbt.com.br/noticia/economia/pib-cresce-3-4-em-2024-e-fecha-o-ano-em-r-11-7-trilhoes-diz-ibge
https://www.metropoles.com/negocios/ibge-revisa-resultado-do-pib-em-2021-e-diz-que-o-pais-cresceu-48
https://agenciabrasil.ebc.com.br/economia/noticia/2015-03/economia-brasileira-cresceu-uma-taxa-media-anual-de-37-entre-2000-e-2011</t>
        </is>
      </c>
    </row>
    <row r="79">
      <c r="A79" s="21" t="inlineStr">
        <is>
          <t>L22</t>
        </is>
      </c>
      <c r="B79" s="21" t="inlineStr">
        <is>
          <t>Lula</t>
        </is>
      </c>
      <c r="C79" s="21" t="inlineStr">
        <is>
          <t>01:04</t>
        </is>
      </c>
      <c r="D79" s="21" t="inlineStr">
        <is>
          <t>Um integrante escolhido da equipe de Flávio disse publicamente que não vai colocar dinheiro no SUS e que pretende privatizar/cobrar pelo SUS.</t>
        </is>
      </c>
      <c r="E79" s="26" t="inlineStr">
        <is>
          <t>Sem evidência</t>
        </is>
      </c>
      <c r="F79" s="21" t="inlineStr">
        <is>
          <t>O Poder360 registra apenas que Lula atribuiu a um integrante da equipe de Flávio a declaração de que não haveria mais recursos para o SUS, sem dizer quem falou nem trazer a frase original. O jornal O Liberal relata que Lula disse que o Ministério da Saúde de Flávio não colocaria dinheiro no SUS e que haveria um 'tesouraço'. Segundo o mesmo jornal, Lula também sugeriu que Flávio privatizaria o sistema. Isso aparece como acusação de Lula, e nenhuma das fontes identifica um integrante da campanha defendendo publicamente cortar recursos, privatizar ou cobrar pelo SUS. A cobrança pelo SUS não aparece em nenhuma delas. Flávio nega cortes na saúde: diz que o 'tesouraço' vai mirar corrupção, burocracia e impostos, e promete ampliar o Inca, refinanciar as dívidas das Santas Casas e atualizar a tabela do SUS.</t>
        </is>
      </c>
      <c r="G79" s="21" t="inlineStr">
        <is>
          <t>Média</t>
        </is>
      </c>
      <c r="H79" s="21" t="inlineStr">
        <is>
          <t>Sem evidência</t>
        </is>
      </c>
      <c r="I79" s="21" t="inlineStr">
        <is>
          <t>Sim</t>
        </is>
      </c>
      <c r="J79" s="21" t="inlineStr">
        <is>
          <t>REAVALIADO SEM FONTES ENVIESADAS. A Jovem Pan (excluída) deixou de ser usada. A página da Band não pôde ser confirmada, por isso as perguntas retóricas atribuídas a ela saíram da explicação. O Poder360 e O Liberal sustentam o mesmo veredito. Revisor: Abri o Poder360 e O Liberal: os dois confirmam o que o agente alegou. Nenhum dado vem de fonte excluída. Não abri a Agência Brasil, e ela não é necessária para o veredito.</t>
        </is>
      </c>
      <c r="K79" s="21" t="inlineStr">
        <is>
          <t>https://www.poder360.com.br/poder-eleicoes-2026/flavio-diz-que-o-sus-salvou-seu-pai-e-nega-cortes-na-saude/
https://www.oliberal.com/politica/lula-diz-que-flavio-bolsonaro-fara-tesouraco-no-sus-senador-promete-investimentos-1.1186219
https://agenciabrasil.ebc.com.br/politica/noticia/2026-09/flavio-bolsonaro-propoe-enxugar-estado-e-endurecer-acoes-de-seguranca</t>
        </is>
      </c>
    </row>
    <row r="80">
      <c r="A80" s="21" t="inlineStr">
        <is>
          <t>L23</t>
        </is>
      </c>
      <c r="B80" s="21" t="inlineStr">
        <is>
          <t>Lula</t>
        </is>
      </c>
      <c r="C80" s="21" t="inlineStr">
        <is>
          <t>01:04</t>
        </is>
      </c>
      <c r="D80" s="21" t="inlineStr">
        <is>
          <t>Cerca de 700 mil pessoas morreram de Covid no governo Bolsonaro, que ignorou a ciência; seria possível ter salvado pelo menos metade.</t>
        </is>
      </c>
      <c r="E80" s="22" t="inlineStr">
        <is>
          <t>Verdadeiro, mas impreciso</t>
        </is>
      </c>
      <c r="F80" s="21" t="inlineStr">
        <is>
          <t>Pelos dados do Ministério da Saúde, o país tinha cerca de 693 mil mortes por Covid até 31/12/2022, o fim do governo Bolsonaro, o que sustenta o 'cerca de 700 mil'. A imprensa cita hoje cerca de 716 mil mortes no total. A CPI da Pandemia apontou omissão e negacionismo. A ideia de que 'pelo menos metade' das mortes poderia ter sido evitada vem de estimativas apresentadas à CPI, que variam conforme o método; não é um dado oficial consolidado.</t>
        </is>
      </c>
      <c r="G80" s="21" t="inlineStr">
        <is>
          <t>Média</t>
        </is>
      </c>
      <c r="H80" s="21" t="inlineStr">
        <is>
          <t>Verdadeiro, mas impreciso</t>
        </is>
      </c>
      <c r="I80" s="21" t="inlineStr">
        <is>
          <t>Sim</t>
        </is>
      </c>
      <c r="J80" s="21" t="inlineStr">
        <is>
          <t>Concordo com o original. A Band confirma o total atual de cerca de 716 mil mortes, coerente com cerca de 693 mil até o fim de 2022. Não consegui fazer uma busca nova sobre a fração evitável porque o limite de buscas acabou. As fontes são oficiais.</t>
        </is>
      </c>
      <c r="K80" s="21" t="inlineStr">
        <is>
          <t>https://covid.saude.gov.br (Painel Coronavírus - Ministério da Saúde)
Relatório final da CPI da Pandemia - Senado Federal (out/2021)
https://www.band.com.br/politica/eleicoes/lula-rebate-flavio-bolsonaro-sobre-saude-e-questiona-quer-privatizar-o-sus</t>
        </is>
      </c>
    </row>
    <row r="81">
      <c r="A81" s="21" t="inlineStr">
        <is>
          <t>L24</t>
        </is>
      </c>
      <c r="B81" s="21" t="inlineStr">
        <is>
          <t>Lula</t>
        </is>
      </c>
      <c r="C81" s="21" t="inlineStr">
        <is>
          <t>01:06</t>
        </is>
      </c>
      <c r="D81" s="21" t="inlineStr">
        <is>
          <t>Bolsonaro disse que quem tomasse vacina poderia virar jacaré e promoveu a cloroquina.</t>
        </is>
      </c>
      <c r="E81" s="24" t="inlineStr">
        <is>
          <t>Verdadeiro</t>
        </is>
      </c>
      <c r="F81" s="21" t="inlineStr">
        <is>
          <t>Em 17/12/2020, em Porto Seguro (BA), Bolsonaro disse sobre a vacina da Pfizer que, 'se você virar um jacaré, é problema seu'. A fala foi amplamente noticiada. Ele também promoveu publicamente a cloroquina/hidroxicloroquina, e o Laboratório do Exército ampliou a produção do remédio. A versão de Lula simplifica uma fala sarcástica e condicional, mas é fiel à essência.</t>
        </is>
      </c>
      <c r="G81" s="21" t="inlineStr">
        <is>
          <t>Alta</t>
        </is>
      </c>
      <c r="H81" s="21" t="inlineStr">
        <is>
          <t>Verdadeiro</t>
        </is>
      </c>
      <c r="I81" s="21" t="inlineStr">
        <is>
          <t>Sim</t>
        </is>
      </c>
      <c r="J81" s="21" t="inlineStr">
        <is>
          <t>Concordo. São fatos públicos e bem documentados pela imprensa e pela CPI. Não refiz a busca porque o limite de buscas acabou.</t>
        </is>
      </c>
      <c r="K81" s="21" t="inlineStr">
        <is>
          <t>g1 - reportagem de 18/12/2020 sobre a fala do 'jacaré' em Porto Seguro
Folha de S.Paulo - cobertura da defesa da cloroquina por Bolsonaro (2020)
Relatório final da CPI da Pandemia - Senado Federal</t>
        </is>
      </c>
    </row>
    <row r="82">
      <c r="A82" s="21" t="inlineStr">
        <is>
          <t>L25</t>
        </is>
      </c>
      <c r="B82" s="21" t="inlineStr">
        <is>
          <t>Lula</t>
        </is>
      </c>
      <c r="C82" s="21" t="inlineStr">
        <is>
          <t>01:11</t>
        </is>
      </c>
      <c r="D82" s="21" t="inlineStr">
        <is>
          <t>O Desenrola 1 atendeu 15 milhões de pessoas e o segundo quase 16 milhões; o novo programa prevê leilão de mais de R$ 50 bilhões para comprar dívidas com descontos de 90% a 95%.</t>
        </is>
      </c>
      <c r="E82" s="22" t="inlineStr">
        <is>
          <t>Verdadeiro, mas impreciso</t>
        </is>
      </c>
      <c r="F82" s="21" t="inlineStr">
        <is>
          <t>Pelo balanço do governo publicado pela Agência Brasil, a fase 1 do Desenrola atendeu 15 milhões de pessoas e famílias (correto). A fase 2 (Novo Desenrola) atendeu 10 milhões, não 'quase 16 milhões', um número inflado. A terceira fase prevê um leilão em que a União compra dívidas com deságio mínimo de 90%, e o ministro Durigan falou em exigir 93% a 95%. O volume em jogo é de R$ 90 bilhões a R$ 150 bilhões em dívidas (cerca de R$ 75 bilhões em renegociação efetiva), então 'mais de R$ 50 bilhões' procede. O leilão está previsto para novembro.</t>
        </is>
      </c>
      <c r="G82" s="21" t="inlineStr">
        <is>
          <t>Média</t>
        </is>
      </c>
      <c r="H82" s="21" t="inlineStr">
        <is>
          <t>Sem evidência</t>
        </is>
      </c>
      <c r="I82" s="21" t="inlineStr">
        <is>
          <t>Não</t>
        </is>
      </c>
      <c r="J82" s="21" t="inlineStr">
        <is>
          <t>Corrigi o veredito de 'Sem evidência' para 'Verdadeiro, mas impreciso'. Encontrei na Agência Brasil e no Ministério da Fazenda os números que faltaram ao original. Confirmei os 15 milhões da fase 1, o leilão e os descontos de 90% a 95%. O erro está na fase 2: são 10 milhões de pessoas, não quase 16 milhões (pode ser erro da transcrição automática, mas o número dito não bate).</t>
        </is>
      </c>
      <c r="K82" s="21" t="inlineStr">
        <is>
          <t>https://agenciabrasil.ebc.com.br/economia/noticia/2026-09/governo-cria-terceira-fase-do-desenrola-com-compra-de-dividas-pela-uni
https://agenciabrasil.ebc.com.br/economia/noticia/2026-10/ministro-preve-renegociacao-de-r-90-bi-em-3a-fase-do-desenrola
https://agenciabrasil.ebc.com.br/economia/noticia/2026-10/portaria-convoca-instituicoes-financeiras-para-3a-fase-do-desenrola
https://www.gov.br/fazenda/pt-br/assuntos/noticias</t>
        </is>
      </c>
    </row>
    <row r="83">
      <c r="A83" s="21" t="inlineStr">
        <is>
          <t>L26</t>
        </is>
      </c>
      <c r="B83" s="21" t="inlineStr">
        <is>
          <t>Lula</t>
        </is>
      </c>
      <c r="C83" s="21" t="inlineStr">
        <is>
          <t>01:16</t>
        </is>
      </c>
      <c r="D83" s="21" t="inlineStr">
        <is>
          <t>O governo Lula acabou com as bets.</t>
        </is>
      </c>
      <c r="E83" s="22" t="inlineStr">
        <is>
          <t>Verdadeiro, mas impreciso</t>
        </is>
      </c>
      <c r="F83" s="21" t="inlineStr">
        <is>
          <t>Em 25/09/2026, Lula editou a MP 1.394/2026, publicada em edição extra do Diário Oficial. A MP proíbe explorar, oferecer, intermediar e anunciar apostas de quota fixa e jogos online, inclusive os de empresas no exterior e o 'Jogo do Tigrinho'. Loterias tradicionais, como a Mega-Sena, ficaram de fora. Os novos depósitos ficaram proibidos desde a publicação. Os apostadores puderam sacar os saldos até 5/10, e os sites e aplicativos tiveram de sair do ar a partir de 6/10. As 85 autorizações acabam em 30 dias, sem devolução das outorgas. A ressalva é que se trata de medida provisória: o Congresso ainda precisa convertê-la em lei. Além disso, em 28/09 a ANJL e o IBJR pediram ao ministro Luiz Fux, do STF, que suspenda a MP. As fontes consultadas não registram decisão sobre esse pedido. Por isso, dizer que o governo 'acabou' com as bets descreve a situação atual, mas o fim ainda não é definitivo.</t>
        </is>
      </c>
      <c r="G83" s="21" t="inlineStr">
        <is>
          <t>Alta</t>
        </is>
      </c>
      <c r="H83" s="21" t="inlineStr">
        <is>
          <t>Verdadeiro, mas impreciso</t>
        </is>
      </c>
      <c r="I83" s="21" t="inlineStr">
        <is>
          <t>Sim</t>
        </is>
      </c>
      <c r="J83" s="21" t="inlineStr">
        <is>
          <t>REAVALIADO SEM FONTES ENVIESADAS. Nada mudou no resultado. O dado da Gazeta do Povo (excluída) não é necessário: o Diário de Pernambuco e o Congresso em Foco confirmam a MP, as proibições, os prazos, as autorizações e o pedido ao STF. Revisor: Abri as duas fontes. O Diário de Pernambuco traz os prazos de 5/10 e 6/10, o Tigrinho e a exclusão das loterias. O Congresso em Foco traz a proibição imediata de depósitos e as ADIs relatadas por Fux. Fiz um ajuste: o outro agente escreveu que o pedido 'ainda não foi decidido', mas as fontes são de 28/09 e não permitem afirmar isso hoje. Troquei por 'as fontes não registram decisão'. Nenhum dado vem de fonte excluída.</t>
        </is>
      </c>
      <c r="K83" s="21" t="inlineStr">
        <is>
          <t>https://www.diariodepernambuco.com.br/politica/2026/09/11725131-associacoes-de-bets-pedem-ao-stf-a-suspensao-da-mp-que-proibe-apostas-on-line.html
https://www.congressoemfoco.com.br/noticia/122611/setor-de-apostas-pede-ao-stf-que-suspenda-mp-de-lula-contra-bets</t>
        </is>
      </c>
    </row>
    <row r="84">
      <c r="A84" s="21" t="inlineStr">
        <is>
          <t>L27</t>
        </is>
      </c>
      <c r="B84" s="21" t="inlineStr">
        <is>
          <t>Lula</t>
        </is>
      </c>
      <c r="C84" s="21" t="inlineStr">
        <is>
          <t>01:18</t>
        </is>
      </c>
      <c r="D84" s="21" t="inlineStr">
        <is>
          <t>O 'tigrinho' (apostas online) foi criado pelo governo Bolsonaro em 2022 (ou por eles).</t>
        </is>
      </c>
      <c r="E84" s="25" t="inlineStr">
        <is>
          <t>Falso</t>
        </is>
      </c>
      <c r="F84" s="21" t="inlineStr">
        <is>
          <t>As apostas esportivas de quota fixa foram legalizadas pela Lei 13.756/2018, sancionada por Temer em dezembro de 2018. O governo Bolsonaro deixou passar o prazo para regulamentá-las. O 'tigrinho' (Fortune Tiger) é um jogo de cassino online de uma empresa privada estrangeira (PG Soft), que nem estava coberto pela lei de 2018. Esse tipo de jogo só entrou no mercado regulado pela Lei 14.790/2023, no governo Lula. A base real é a omissão regulatória, que deixou o mercado cinzento crescer; o governo Bolsonaro não 'criou' o tigrinho.</t>
        </is>
      </c>
      <c r="G84" s="21" t="inlineStr">
        <is>
          <t>Média</t>
        </is>
      </c>
      <c r="H84" s="21" t="inlineStr">
        <is>
          <t>Falso</t>
        </is>
      </c>
      <c r="I84" s="21" t="inlineStr">
        <is>
          <t>Sim</t>
        </is>
      </c>
      <c r="J84" s="21" t="inlineStr">
        <is>
          <t>Concordo. A cronologia da legislação está correta. Avaliei 'Exagerado' por causa da omissão regulatória, mas a atribuição de autoria ('criado pelo governo Bolsonaro') é falsa. Não fiz busca nova porque o limite acabou.</t>
        </is>
      </c>
      <c r="K84" s="21" t="inlineStr">
        <is>
          <t>Lei nº 13.756/2018 (Planalto)
Lei nº 14.790/2023 (Planalto)</t>
        </is>
      </c>
    </row>
    <row r="85">
      <c r="A85" s="21" t="inlineStr">
        <is>
          <t>L28</t>
        </is>
      </c>
      <c r="B85" s="21" t="inlineStr">
        <is>
          <t>Lula</t>
        </is>
      </c>
      <c r="C85" s="21" t="inlineStr">
        <is>
          <t>01:21</t>
        </is>
      </c>
      <c r="D85" s="21" t="inlineStr">
        <is>
          <t>O governo Lula encontrou cerca de 5.600 obras de creches, escolas e institutos federais paralisadas.</t>
        </is>
      </c>
      <c r="E85" s="23" t="inlineStr">
        <is>
          <t>Exagerado</t>
        </is>
      </c>
      <c r="F85" s="21" t="inlineStr">
        <is>
          <t>Há muitas obras de educação paralisadas, mas os números públicos ficam bem abaixo de 5.600. Em 10/01/2023, o ministro Camilo Santana falou em quase 3.700 obras paradas. O TCU contava 3.993 obras de educação paralisadas ou inacabadas, com dados de novembro de 2022 (Metrópoles). Em maio de 2023, o Pacto de Retomada partiu de cerca de 3.500 obras de infraestrutura escolar paralisadas ou inacabadas, segundo o cadastro do FNDE (Correio Braziliense). Depois, os pedidos de retomada pelo Pacto chegaram a 3.783 (Portal de Prefeitura, 16/03/2026). O número de 6.227 que aparece nessa matéria é o total de obras de educação previstas pelo governo, não a contagem de obras paralisadas. Nenhuma fonte permitida chega a cerca de 5.600 obras paradas.</t>
        </is>
      </c>
      <c r="G85" s="21" t="inlineStr">
        <is>
          <t>Média</t>
        </is>
      </c>
      <c r="H85" s="21" t="inlineStr">
        <is>
          <t>Exagerado</t>
        </is>
      </c>
      <c r="I85" s="21" t="inlineStr">
        <is>
          <t>Sim</t>
        </is>
      </c>
      <c r="J85" s="21" t="inlineStr">
        <is>
          <t>REAVALIADO SEM FONTES ENVIESADAS. Saiu a menção ao levantamento do TCU de 2024 e ao aumento de obras paradas no governo Lula, que vinha só da Gazeta do Povo (excluída). Entrou a ressalva de que os 6.227 são o total de obras previstas, não o de paralisadas. O veredito continua o mesmo. Revisor: Abri as três fontes. Os números de 3.700 e 3.993 (dados de novembro de 2022), de 3.500 (FNDE, maio de 2023) e de 3.783 e 6.227 batem com o que o outro agente escreveu. O número 5.600 não aparece em nenhuma delas. A matéria do Portal de Prefeitura atribui os dados só a 'dados oficiais', então a confiança fica em Média. Nenhum dado vem de fonte excluída.</t>
        </is>
      </c>
      <c r="K85" s="21" t="inlineStr">
        <is>
          <t>https://www.metropoles.com/brasil/brasil-tem-quase-3-700-obras-paradas-na-area-da-educacao-diz-ministro
https://www.correiobraziliense.com.br/politica/2023/05/amp/5094114-lula-anuncia-retomada-de-3-500-obras-escolares-paralisadas.html
https://portaldeprefeitura.com.br/bastidores-da-politica/educacao-em-marcha-lenta-governo-lula-concluiu-apenas-12-das-obras/617211/</t>
        </is>
      </c>
    </row>
    <row r="86">
      <c r="A86" s="21" t="inlineStr">
        <is>
          <t>L29</t>
        </is>
      </c>
      <c r="B86" s="21" t="inlineStr">
        <is>
          <t>Lula</t>
        </is>
      </c>
      <c r="C86" s="21" t="inlineStr">
        <is>
          <t>01:21</t>
        </is>
      </c>
      <c r="D86" s="21" t="inlineStr">
        <is>
          <t>O governo Bolsonaro criou as escolas cívico-militares mas não as implementou.</t>
        </is>
      </c>
      <c r="E86" s="25" t="inlineStr">
        <is>
          <t>Falso</t>
        </is>
      </c>
      <c r="F86" s="21" t="inlineStr">
        <is>
          <t>O Programa Nacional das Escolas Cívico-Militares (Pecim) foi criado em 2019 e chegou a funcionar em cerca de 200 escolas até 2022. O MEC do governo Lula anunciou o fim do programa em julho de 2023. A escala foi pequena, mas o programa foi implementado.</t>
        </is>
      </c>
      <c r="G86" s="21" t="inlineStr">
        <is>
          <t>Média</t>
        </is>
      </c>
      <c r="H86" s="21" t="inlineStr">
        <is>
          <t>Falso</t>
        </is>
      </c>
      <c r="I86" s="21" t="inlineStr">
        <is>
          <t>Sim</t>
        </is>
      </c>
      <c r="J86" s="21" t="inlineStr">
        <is>
          <t>Concordo. A cota de buscas da sessão acabou e a página do MEC pediu CAPTCHA, então não consegui confirmar o número exato de escolas com uma consulta nova. Mesmo assim, a existência de escolas em funcionamento no Pecim até 2022 é fato amplamente noticiado, e isso desmente a frase de que o programa não foi implementado.</t>
        </is>
      </c>
      <c r="K86" s="21" t="inlineStr">
        <is>
          <t>Ministério da Educação (gov.br/mec) – anúncio do encerramento do Pecim, jul/2023 (a página não abriu nesta revisão, pois pediu CAPTCHA)
Agência Brasil / g1 – cobertura do fim do Pecim em 2023
Ministério da Educação (gov.br/mec) – anúncio do encerramento do Pecim, jul/2023
Agência Brasil – cobertura do fim do Pecim, 2023</t>
        </is>
      </c>
    </row>
    <row r="87">
      <c r="A87" s="21" t="inlineStr">
        <is>
          <t>L30</t>
        </is>
      </c>
      <c r="B87" s="21" t="inlineStr">
        <is>
          <t>Lula</t>
        </is>
      </c>
      <c r="C87" s="21" t="inlineStr">
        <is>
          <t>01:29</t>
        </is>
      </c>
      <c r="D87" s="21" t="inlineStr">
        <is>
          <t>Flávio Bolsonaro discursou na Alerj defendendo milicianos, deu condecoração a miliciano e empregou a mãe e a irmã de chefe de milícia (Adriano da Nóbrega) em seu gabinete.</t>
        </is>
      </c>
      <c r="E87" s="22" t="inlineStr">
        <is>
          <t>Verdadeiro, mas impreciso</t>
        </is>
      </c>
      <c r="F87" s="21" t="inlineStr">
        <is>
          <t>Como deputado estadual, Flávio deu a Adriano da Nóbrega uma moção de louvor (2003) e a Medalha Tiradentes (2005), quando Adriano estava preso por homicídio. No gabinete dele trabalharam a mãe de Adriano (Raimunda Veras Magalhães, nomeada em 2016) e a então mulher, depois ex-mulher (Danielle Mendonça, de 2007 a 2018), não uma irmã. Flávio também fez falas na Alerj em que relativizou as milícias.</t>
        </is>
      </c>
      <c r="G87" s="21" t="inlineStr">
        <is>
          <t>Média</t>
        </is>
      </c>
      <c r="H87" s="21" t="inlineStr">
        <is>
          <t>Verdadeiro, mas impreciso</t>
        </is>
      </c>
      <c r="I87" s="21" t="inlineStr">
        <is>
          <t>Sim</t>
        </is>
      </c>
      <c r="J87" s="21" t="inlineStr">
        <is>
          <t>Confirmei pelas referências jornalísticas (Folha, O Globo, g1, Valor) que foram a mãe e a mulher (ex-mulher) de Adriano, não uma irmã, e que as homenagens foram a moção de 2003 e a medalha de 2005. Não consegui abrir as páginas da Folha e do Valor (acesso bloqueado). O erro sobre a irmã justifica o 'impreciso'.</t>
        </is>
      </c>
      <c r="K87" s="21" t="inlineStr">
        <is>
          <t>Folha de S.Paulo, 22/01/2019 – Flávio Bolsonaro empregou mãe e mulher de capitão preso em operação contra milícias
Folha de S.Paulo, 24/01/2019 – ex-PM estava preso por homicídio quando Flávio o homenageou
O Globo, 22/01/2019 – milicianos alvos de operação foram homenageados por Flávio em 2003-2004
g1, 22/01/2019 – Flávio contratou mãe de foragido de operação contra milícia</t>
        </is>
      </c>
    </row>
    <row r="88">
      <c r="A88" s="21" t="inlineStr">
        <is>
          <t>L31</t>
        </is>
      </c>
      <c r="B88" s="21" t="inlineStr">
        <is>
          <t>Lula</t>
        </is>
      </c>
      <c r="C88" s="21" t="inlineStr">
        <is>
          <t>01:33</t>
        </is>
      </c>
      <c r="D88" s="21" t="inlineStr">
        <is>
          <t>No caso da ilha de Richarlison, um amigo/advogado de Flávio conseguiu da SPU em uma semana o título que Richarlison esperava havia mais de um ano; o diretor da SPU era um coronel indicado por Flávio.</t>
        </is>
      </c>
      <c r="E88" s="22" t="inlineStr">
        <is>
          <t>Verdadeiro, mas impreciso</t>
        </is>
      </c>
      <c r="F88" s="21" t="inlineStr">
        <is>
          <t>A disputa começou em 2020, quando a empresa de Richarlison negociou os direitos de ocupação de um imóvel na Ilha Comprida, em Angra dos Reis. O jogador diz ter investido cerca de R$ 10 milhões (Metrópoles). Segundo o Metrópoles, o pedido do grupo dele na SPU ficou sem conclusão por cerca de dez meses, menos do que 'mais de um ano'. Já o pedido ligado à empresa de Willer Tomaz, advogado e amigo de Flávio, foi concluído em um dia, em julho de 2022. A parte sobre a rapidez tem base, e 'uma semana' até subestima o prazo. O 'mais de um ano', porém, exagera. Tomaz diz que a compra foi regular e tem documentos da SPU, e Flávio nega participação. Na Justiça, o TJ-RJ deu ganho de causa à empresa de Tomaz, o STJ manteve a decisão em 2025 e a empresa de Richarlison depois desistiu da ação. Nenhuma fonte consultada confirma que o diretor ou superintendente da SPU fosse um coronel indicado por Flávio. A PF vai incluir o caso no inquérito que já investiga as relações entre Flávio e Tomaz, sem conclusão até agora.</t>
        </is>
      </c>
      <c r="G88" s="21" t="inlineStr">
        <is>
          <t>Média</t>
        </is>
      </c>
      <c r="H88" s="21" t="inlineStr">
        <is>
          <t>Verdadeiro, mas impreciso</t>
        </is>
      </c>
      <c r="I88" s="21" t="inlineStr">
        <is>
          <t>Sim</t>
        </is>
      </c>
      <c r="J88" s="21" t="inlineStr">
        <is>
          <t>REAVALIADO SEM FONTES ENVIESADAS. Saíram a data exata da certidão (11/07/2022) e o mês da compra (outubro de 2020), que só vinham da CartaCapital (excluída). Ficou o que o Metrópoles confirma: a disputa começou em 2020, o investimento foi de cerca de R$ 10 milhões, o pedido de Richarlison ficou cerca de dez meses sem conclusão e o de Tomaz foi concluído em um dia, em julho de 2022. Entraram a inclusão do caso no inquérito da PF (CNN) e o desfecho na Justiça (TJ-RJ e STJ). O veredito continua o mesmo. Revisor: Abri as três fontes. O Metrópoles confirma literalmente 'cerca de dez meses', 'concluída em um dia, em julho de 2022', o início em 2020 e os R$ 10 milhões. Houve um erro de atribuição: o outro agente creditou os R$ 10 milhões à CNN, mas a matéria da CNN sobre a resposta de Richarlison não traz valor, ano nem prazo. Corrigi para o Metrópoles. A matéria da CNN sobre o inquérito confirma que a PF vai incluir o caso. Nenhuma das fontes menciona um coronel na SPU. Acrescentei o desfecho judicial que o Metrópoles relata. Nenhum dado vem de fonte excluída.</t>
        </is>
      </c>
      <c r="K88" s="21" t="inlineStr">
        <is>
          <t>https://www.metropoles.com/brasil/richarlison-x-willer-tomaz-lula-pede-que-pf-investigue-disputa-por-ilha
https://www.cnnbrasil.com.br/eleicoes/richarlison-rebate-advogado-amigo-de-flavio-bolsonaro-em-disputa-por-ilha/
https://www.cnnbrasil.com.br/blogs/jussara-soares/politica/pf-incluira-caso-da-ilha-de-richarlison-em-inquerito-sobre-flavio-e-willer/</t>
        </is>
      </c>
    </row>
    <row r="89">
      <c r="A89" s="21" t="inlineStr">
        <is>
          <t>L32</t>
        </is>
      </c>
      <c r="B89" s="21" t="inlineStr">
        <is>
          <t>Lula</t>
        </is>
      </c>
      <c r="C89" s="21" t="inlineStr">
        <is>
          <t>01:37</t>
        </is>
      </c>
      <c r="D89" s="21" t="inlineStr">
        <is>
          <t>Daniel Vorcaro (Banco Master) foi preso no governo Lula.</t>
        </is>
      </c>
      <c r="E89" s="24" t="inlineStr">
        <is>
          <t>Verdadeiro</t>
        </is>
      </c>
      <c r="F89" s="21" t="inlineStr">
        <is>
          <t>Daniel Vorcaro, dono do Banco Master, foi preso pela Polícia Federal na noite de 17/11/2025, no aeroporto de Guarulhos, na Operação Compliance Zero. Foi solto no fim de novembro e preso de novo em 04/03/2026, por ordem do ministro André Mendonça (STF). As duas prisões ocorreram durante o governo Lula.</t>
        </is>
      </c>
      <c r="G89" s="21" t="inlineStr">
        <is>
          <t>Alta</t>
        </is>
      </c>
      <c r="H89" s="21" t="inlineStr">
        <is>
          <t>Verdadeiro</t>
        </is>
      </c>
      <c r="I89" s="21" t="inlineStr">
        <is>
          <t>Sim</t>
        </is>
      </c>
      <c r="J89" s="21" t="inlineStr">
        <is>
          <t>Confirmei pelas reportagens da CNN Brasil. Acrescento a segunda prisão, de março de 2026. A prisão foi cumprida pela PF com autorização judicial; não foi um ato do governo.</t>
        </is>
      </c>
      <c r="K89" s="21" t="inlineStr">
        <is>
          <t>https://www.cnnbrasil.com.br/economia/daniel-vorcaro-dono-do-banco-master-e-preso-pela-policia-federal/
https://www.cnnbrasil.com.br/politica/mendonca-manda-prender-vorcaro-em-nova-fase-da-operacao-da-pf-sobre-master/
Polícia Federal (gov.br/pf) – Operação Compliance Zero, nov/2025
Banco Central – liquidação extrajudicial do Banco Master, nov/2025</t>
        </is>
      </c>
    </row>
    <row r="90">
      <c r="A90" s="21" t="inlineStr">
        <is>
          <t>L33</t>
        </is>
      </c>
      <c r="B90" s="21" t="inlineStr">
        <is>
          <t>Lula</t>
        </is>
      </c>
      <c r="C90" s="21" t="inlineStr">
        <is>
          <t>01:39</t>
        </is>
      </c>
      <c r="D90" s="21" t="inlineStr">
        <is>
          <t>Flávio esteve em um barco em Brasília em 2020 com empresários negociando a vacina Covaxin.</t>
        </is>
      </c>
      <c r="E90" s="22" t="inlineStr">
        <is>
          <t>Verdadeiro, mas impreciso</t>
        </is>
      </c>
      <c r="F90" s="21" t="inlineStr">
        <is>
          <t>Abri o Piauí Hoje, uma fonte permitida. Ele repete reportagem da revista piauí: em 17/07/2020, durante a pandemia, Flávio Bolsonaro esteve numa lancha no Lago Paranoá, em Brasília. Estavam lá Danilo Trento, diretor da Precisa Medicamentos, e Francisco Maximiano, dono da empresa, que representava a Bharat Biotech. Segundo a matéria, Trento deu um Rolex a Flávio ao fim do passeio. A Precisa depois intermediou a compra da Covaxin pelo governo federal, e o contrato foi investigado na CPI. Até aqui, Lula está correto: barco, Brasília, 2020 e empresários ligados à Covaxin. Mas a parte 'negociando a vacina Covaxin' não tem apoio. A matéria não diz que a vacina foi tratada no passeio; a ligação com a Covaxin é só de contexto. Outros jornais regionais permitidos (Diário de Pernambuco, Bem Paraná, Poder Paraíba, Opinião CE) trazem o mesmo relato. O dado de que a Covaxin só foi negociada a partir do fim de 2020 é cronologia conhecida. Ele não vem de fonte excluída, mas não muda o veredito.</t>
        </is>
      </c>
      <c r="G90" s="21" t="inlineStr">
        <is>
          <t>Alta</t>
        </is>
      </c>
      <c r="H90" s="21" t="inlineStr">
        <is>
          <t>Verdadeiro, mas impreciso</t>
        </is>
      </c>
      <c r="I90" s="21" t="inlineStr">
        <is>
          <t>Sim</t>
        </is>
      </c>
      <c r="J90" s="21" t="inlineStr">
        <is>
          <t>REAVALIADO SEM FONTES ENVIESADAS. Nada mudou. A única fonte excluída (Sul21) só repetia o relato da piauí, que as fontes regionais permitidas confirmam. Revisor: Confirmei pelo WebFetch que o Piauí Hoje traz data, local, presentes, Rolex e o vínculo da Precisa com a Covaxin, e que não diz que a vacina foi negociada na lancha.</t>
        </is>
      </c>
      <c r="K90" s="21" t="inlineStr">
        <is>
          <t>https://piauihoje.com/noticias/politica/flavio-participou-de-festa-com-garotas-de-programa-em-lancha-na-pandemia-diz-revista-468937.html
https://www.diariodepernambuco.com.br/politica/2026/10/11727353-flavio-participou-de-churrasco-em-lancha-com-lobistas-e-garotas-de-programa.html
https://poderparaiba.com.br/flavio-bolsonaro-festa-lancha-pandemia-precisa-medicamentos-piaui/
https://www.bemparana.com.br/eleicoes-2026/flavio-bolsonaro-esteve-em-festa-em-lancha-com-prostitutas-e-lobistas-em-plena-pandemia-diz-revista/</t>
        </is>
      </c>
    </row>
    <row r="91">
      <c r="A91" s="21" t="inlineStr">
        <is>
          <t>L34</t>
        </is>
      </c>
      <c r="B91" s="21" t="inlineStr">
        <is>
          <t>Lula</t>
        </is>
      </c>
      <c r="C91" s="21" t="inlineStr">
        <is>
          <t>01:47</t>
        </is>
      </c>
      <c r="D91" s="21" t="inlineStr">
        <is>
          <t>Flávio, ganhando salário de parlamentar (~R$ 46 mil), comprou uma casa de cerca de R$ 10 milhões.</t>
        </is>
      </c>
      <c r="E91" s="23" t="inlineStr">
        <is>
          <t>Exagerado</t>
        </is>
      </c>
      <c r="F91" s="21" t="inlineStr">
        <is>
          <t>O registro em cartório do DF indica que a casa no Lago Sul foi comprada em 2021 por R$ 5,97 milhões, com financiamento de R$ 3,1 milhões no BRB. A desproporção em relação ao salário de senador existe: na época, o salário bruto era de cerca de R$ 33,7 mil, e a reportagem cita cerca de R$ 24 mil líquidos. Mas o valor de R$ 10 milhões quase dobra o preço de compra registrado.</t>
        </is>
      </c>
      <c r="G91" s="21" t="inlineStr">
        <is>
          <t>Alta</t>
        </is>
      </c>
      <c r="H91" s="21" t="inlineStr">
        <is>
          <t>Exagerado</t>
        </is>
      </c>
      <c r="I91" s="21" t="inlineStr">
        <is>
          <t>Sim</t>
        </is>
      </c>
      <c r="J91" s="21" t="inlineStr">
        <is>
          <t>Confirmei no Correio Braziliense o valor de R$ 5,97 milhões, o financiamento do BRB e a localização no Lago Sul. O valor de R$ 46 mil corresponde ao salário atual de parlamentar, não ao de 2021.</t>
        </is>
      </c>
      <c r="K91" s="21" t="inlineStr">
        <is>
          <t>https://www.correiobraziliense.com.br/politica/2022/06/5012206-flavio-bolsonaro-justifica-compra-de-mansao-com-outras-fontes-de-renda.html
Folha de S.Paulo, 01/06/2022 – Flávio diz que renda como advogado ajudou a pagar mansão de R$ 6 milhões
g1 – Flávio Bolsonaro compra mansão de quase R$ 6 milhões em Brasília (2021)
Folha de S.Paulo – financiamento da casa pelo BRB (2021)</t>
        </is>
      </c>
    </row>
    <row r="92">
      <c r="A92" s="21" t="inlineStr">
        <is>
          <t>L35</t>
        </is>
      </c>
      <c r="B92" s="21" t="inlineStr">
        <is>
          <t>Lula</t>
        </is>
      </c>
      <c r="C92" s="21" t="inlineStr">
        <is>
          <t>01:50</t>
        </is>
      </c>
      <c r="D92" s="21" t="inlineStr">
        <is>
          <t>O governo Bolsonaro gastou cerca de 30% a mais no cartão corporativo que o governo Lula.</t>
        </is>
      </c>
      <c r="E92" s="22" t="inlineStr">
        <is>
          <t>Verdadeiro, mas impreciso</t>
        </is>
      </c>
      <c r="F92" s="21" t="inlineStr">
        <is>
          <t>Abri a matéria do Terra (24/10/2026), que é uma fonte permitida. Os números são estes:
- Secretaria de Administração da Presidência: R$ 41,2 milhões com Bolsonaro (2019-2022) contra R$ 20,4 milhões com Lula (2023-2025). - Presidência, incluindo GSI e Abin: R$ 82,4 milhões contra R$ 45,2 milhões. - Governo federal inteiro: cerca de R$ 1 bilhão com Bolsonaro, em 4 anos, contra cerca de R$ 1,4 bilhão com Lula, em 3 anos. Desse total de Lula, R$ 1,1 bilhão (78%) foi para calamidades. Em valores totais, Bolsonaro gastou cerca de 82% a mais na Presidência e cerca de 102% a mais na Secretaria. Pela média anual (cálculo próprio), a diferença cai para cerca de 37% e 51%. No âmbito da Presidência, portanto, a ideia de que Bolsonaro gastou mais procede, e a média anual fica perto do '30%' citado. Há ressalvas. No governo federal inteiro, a relação se inverte e Lula gastou mais. Os valores também mudam conforme a correção pela inflação e a metodologia. O próprio Terra lembra que a CGU revisou o total de Bolsonaro para cerca de R$ 42 milhões a R$ 48 milhões. E o texto não menciona os 30%. A frase de Lula vale só para a Presidência e não diz qual recorte usou.</t>
        </is>
      </c>
      <c r="G92" s="21" t="inlineStr">
        <is>
          <t>Média</t>
        </is>
      </c>
      <c r="H92" s="21" t="inlineStr">
        <is>
          <t>Verdadeiro, mas impreciso</t>
        </is>
      </c>
      <c r="I92" s="21" t="inlineStr">
        <is>
          <t>Sim</t>
        </is>
      </c>
      <c r="J92" s="21" t="inlineStr">
        <is>
          <t>REAVALIADO SEM FONTES ENVIESADAS. O veredito não mudou. A Gazeta do Povo (excluída) foi retirada, e nenhum dado dela foi usado. Os percentuais anuais foram recalculados só com os números do Terra, e estão corretos. Revisor: Confirmei pelo WebFetch os números citados do Terra. Há uma ressalva: o Terra atribui os números da Secretaria ao Aos Fatos e os da Presidência ao Estadão Verifica, que são checagens, e não informa a fonte do total do governo federal. Ainda assim, a fonte usada é o Terra, um portal jornalístico, com dados que vêm do Portal da Transparência. Nenhuma fonte excluída foi usada. A confiança Média se justifica por essa origem indireta dos números e pela divergência de metodologias.</t>
        </is>
      </c>
      <c r="K92" s="21" t="inlineStr">
        <is>
          <t>https://www.terra.com.br/noticias/eleicoes/jair-bolsonaro-gastou-mais-no-cartao-corporativo-do-que-lula,4ffda9eadcc210176ff3273b5ac8f854m750onan.html
https://portaldatransparencia.gov.br/cartoes</t>
        </is>
      </c>
    </row>
  </sheetData>
  <autoFilter ref="A1:K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8" customWidth="1" min="3" max="3"/>
    <col width="9" customWidth="1" min="4" max="4"/>
    <col width="50" customWidth="1" min="5" max="5"/>
    <col width="12" customWidth="1" min="6" max="6"/>
    <col width="12" customWidth="1" min="7" max="7"/>
    <col width="55" customWidth="1" min="8" max="8"/>
    <col width="35" customWidth="1" min="9" max="9"/>
    <col width="55" customWidth="1" min="10" max="10"/>
    <col width="45" customWidth="1" min="11" max="11"/>
    <col width="50" customWidth="1" min="12" max="12"/>
    <col width="10" customWidth="1" min="13" max="13"/>
    <col width="11" customWidth="1" min="14" max="14"/>
    <col width="50" customWidth="1" min="15" max="15"/>
    <col width="60" customWidth="1" min="16" max="16"/>
    <col width="16" customWidth="1" min="18" max="18"/>
  </cols>
  <sheetData>
    <row r="1">
      <c r="A1" s="3" t="inlineStr">
        <is>
          <t>ID</t>
        </is>
      </c>
      <c r="B1" s="3" t="inlineStr">
        <is>
          <t>Candidato</t>
        </is>
      </c>
      <c r="C1" s="3" t="inlineStr">
        <is>
          <t>Tema</t>
        </is>
      </c>
      <c r="D1" s="3" t="inlineStr">
        <is>
          <t>Tempo no vídeo</t>
        </is>
      </c>
      <c r="E1" s="3" t="inlineStr">
        <is>
          <t>Promessa</t>
        </is>
      </c>
      <c r="F1" s="3" t="inlineStr">
        <is>
          <t>Viabilidade (%)</t>
        </is>
      </c>
      <c r="G1" s="3" t="inlineStr">
        <is>
          <t>Classificação</t>
        </is>
      </c>
      <c r="H1" s="3" t="inlineStr">
        <is>
          <t>Justificativa</t>
        </is>
      </c>
      <c r="I1" s="3" t="inlineStr">
        <is>
          <t>Custo estimado</t>
        </is>
      </c>
      <c r="J1" s="3" t="inlineStr">
        <is>
          <t>Fatores econômicos</t>
        </is>
      </c>
      <c r="K1" s="3" t="inlineStr">
        <is>
          <t>Fatores regionais</t>
        </is>
      </c>
      <c r="L1" s="3" t="inlineStr">
        <is>
          <t>Obstáculos (legais, políticos, técnicos)</t>
        </is>
      </c>
      <c r="M1" s="3" t="inlineStr">
        <is>
          <t>Confiança</t>
        </is>
      </c>
      <c r="N1" s="3" t="inlineStr">
        <is>
          <t>% análise inicial</t>
        </is>
      </c>
      <c r="O1" s="3" t="inlineStr">
        <is>
          <t>Nota do revisor independente</t>
        </is>
      </c>
      <c r="P1" s="3" t="inlineStr">
        <is>
          <t>Principais fontes</t>
        </is>
      </c>
      <c r="R1" s="27" t="inlineStr">
        <is>
          <t>Grupo do tema</t>
        </is>
      </c>
    </row>
    <row r="2">
      <c r="A2" s="21" t="inlineStr">
        <is>
          <t>PF01</t>
        </is>
      </c>
      <c r="B2" s="21" t="inlineStr">
        <is>
          <t>Flávio</t>
        </is>
      </c>
      <c r="C2" s="21" t="inlineStr">
        <is>
          <t>Infraestrutura</t>
        </is>
      </c>
      <c r="D2" s="21" t="inlineStr">
        <is>
          <t>00:10</t>
        </is>
      </c>
      <c r="E2" s="21" t="inlineStr">
        <is>
          <t>Concluir a Transnordestina até os portos de Suape (PE) e Pecém (CE).</t>
        </is>
      </c>
      <c r="F2" s="28" t="n">
        <v>0.25</v>
      </c>
      <c r="G2" s="25">
        <f>IF(F2&gt;=0.7,"Alta",IF(F2&gt;=0.4,"Média","Baixa"))</f>
        <v/>
      </c>
      <c r="H2" s="21" t="inlineStr">
        <is>
          <t>Chegar a Pecém até 2030 é provável, mas não garantido, dado o histórico de atrasos. Terminar os cerca de 540 km até Suape em quatro anos, contratando só lotes isolados, é improvável. Como a promessa inclui os dois portos, a nota fica baixa.</t>
        </is>
      </c>
      <c r="I2" s="21" t="inlineStr">
        <is>
          <t>Não há custo total estimado para Salgueiro–Suape (cerca de 540 km). O único valor concreto é um contrato de R$ 312,8 milhões, assinado em julho de 2026, para 73,3 km entre Custódia e Arcoverde (Diário de Pernambuco). O ramal de Pecém é pago pela TLSA com recursos do FDNE.</t>
        </is>
      </c>
      <c r="J2" s="21" t="inlineStr">
        <is>
          <t>O eixo Eliseu Martins–Pecém estava cerca de 81% pronto em 2026, e o aditivo de 2022 dá prazo até por volta de 2029. Em Pernambuco, a União voltou a contratar obras em lotes (Custódia–Arcoverde), mas cada lote depende de dinheiro do orçamento, que é pouco dentro do arcabouço fiscal.</t>
        </is>
      </c>
      <c r="K2" s="21" t="inlineStr">
        <is>
          <t>Para Ceará e Piauí, a ferrovia escoa minério e grãos do MATOPIBA até o Pecém. Pernambuco e a FIEPE pressionam pelo ramal até Suape, mas a demanda de carga desse trecho é questionada desde 2022.</t>
        </is>
      </c>
      <c r="L2" s="21" t="inlineStr">
        <is>
          <t>Não exige PEC nem lei nova. Exige decisão do TCU (o ministro Jhonatan de Jesus pediu vista e a sessão foi remarcada para 14/10), definição do modelo para o trecho pernambucano, desapropriações e licenças. A obra começou em 2006, ficou parada em 2016 e já perdeu vários prazos.</t>
        </is>
      </c>
      <c r="M2" s="21" t="inlineStr">
        <is>
          <t>Média</t>
        </is>
      </c>
      <c r="N2" s="29" t="n">
        <v>0.3</v>
      </c>
      <c r="O2" s="21" t="inlineStr">
        <is>
          <t>Baixei de 30% para 25%. Ao reler a fonte, apareceu um fato que a análise original ignorou: em julho de 2026 houve contrato de R$ 312,8 milhões para 73 km no trecho pernambucano. Isso mostra que o trecho não está totalmente parado, mas também que avança em lotes pequenos, num ritmo incompatível com chegar a Suape até 2030. Também pesei o risco de atraso no próprio ramal de Pecém. Limitação: o limite de buscas da sessão acabou, então conferi lendo diretamente as fontes originais, sem fazer buscas novas.</t>
        </is>
      </c>
      <c r="P2" s="21" t="inlineStr">
        <is>
          <t>https://www.diariodepernambuco.com.br/economia/2026/10/11725523-analise-sobre-trecho-pernambucano-da-ferrovia-transnordestina-e-adiada-pelo-tcu.html
https://diariodonordeste.verdesmares.com.br/negocios/transnordestina-veja-cronograma-das-obras-e-o-que-muda-com-aditivo-do-contrato-da-ferrovia-no-ce-1.3318404
https://www.diariodepernambuco.com.br/economia/2026/05/11714501-transnordestina-em-pernambuco-um-historico-de-decisoes-negativas.html
https://www.diariodepernambuco.com.br/economia/2026/05/11714979-transnordestina-governo-e-empresarios-assinam-manifesto-pela-conclusao-do-trecho-salgueiro-suape.html</t>
        </is>
      </c>
      <c r="R2" s="12" t="inlineStr">
        <is>
          <t>Infraestrutura</t>
        </is>
      </c>
    </row>
    <row r="3">
      <c r="A3" s="21" t="inlineStr">
        <is>
          <t>PF02</t>
        </is>
      </c>
      <c r="B3" s="21" t="inlineStr">
        <is>
          <t>Flávio</t>
        </is>
      </c>
      <c r="C3" s="21" t="inlineStr">
        <is>
          <t>Infraestrutura / Sul</t>
        </is>
      </c>
      <c r="D3" s="21" t="inlineStr">
        <is>
          <t>00:10</t>
        </is>
      </c>
      <c r="E3" s="21" t="inlineStr">
        <is>
          <t>Construir o eixo sul ferroviário ligando o Centro-Oeste ao oeste do Paraná e de Santa Catarina (Nova Ferroeste).</t>
        </is>
      </c>
      <c r="F3" s="28" t="n">
        <v>0.05</v>
      </c>
      <c r="G3" s="25">
        <f>IF(F3&gt;=0.7,"Alta",IF(F3&gt;=0.4,"Média","Baixa"))</f>
        <v/>
      </c>
      <c r="H3" s="21" t="inlineStr">
        <is>
          <t>Pelo próprio desenho contratual, o eixo completo não ficaria pronto antes de meados dos anos 2030, mesmo com leilão em 2027. No máximo, dá para fazer o leilão e começar as obras até 2030.</t>
        </is>
      </c>
      <c r="I3" s="21" t="inlineStr">
        <is>
          <t>R$ 35,8 bilhões para 1.567 km, incluindo material rodante, segundo o estudo de viabilidade (EVTEA). Lance mínimo de R$ 110 milhões e concessão de 99 anos (AEN-PR).</t>
        </is>
      </c>
      <c r="J3" s="21" t="inlineStr">
        <is>
          <t>O projeto depende quase todo de capital privado e ainda não tem leilão marcado. Com juros altos, é difícil financiar uma obra desse tamanho, e um aporte federal relevante não cabe no arcabouço fiscal.</t>
        </is>
      </c>
      <c r="K3" s="21" t="inlineStr">
        <is>
          <t>A ferrovia ligaria Maracaju (MS), o oeste do Paraná e Chapecó (SC) a Paranaguá, passando por 67 municípios. É uma região forte em grãos e proteína animal que hoje depende de caminhões. O traçado passa por terras indígenas no MS e pela Serra do Mar.</t>
        </is>
      </c>
      <c r="L3" s="21" t="inlineStr">
        <is>
          <t>A Licença Prévia ainda está em análise no Ibama. Depois do leilão, o projeto executivo leva cerca de 2 anos, e só então vem a Licença de Instalação. O próprio edital prevê, nos primeiros 7 anos, só o trecho Paranaguá–Guarapuava e a melhoria de Guarapuava–Cascavel. Os outros trechos só ganham cronograma depois que a operação começar. A concessão é estadual (Paraná) e envolve três estados, então a União tem pouco controle.</t>
        </is>
      </c>
      <c r="M3" s="21" t="inlineStr">
        <is>
          <t>Alta</t>
        </is>
      </c>
      <c r="N3" s="29" t="n">
        <v>0.08</v>
      </c>
      <c r="O3" s="21" t="inlineStr">
        <is>
          <t>Baixei de 8% para 5%. O edital, que a análise original não detalhou, já prevê só o primeiro trecho nos primeiros 7 anos e 2 anos de projeto executivo antes da Licença de Instalação. Isso torna a conclusão até 2030 praticamente impossível no papel. Os dados de custo da análise original foram confirmados em fonte oficial (AEN-PR). Não foi possível fazer buscas novas porque o limite da sessão acabou.</t>
        </is>
      </c>
      <c r="P3" s="21" t="inlineStr">
        <is>
          <t>https://www.parana.pr.gov.br/aen/Noticia/Perguntas-e-respostas-conheca-os-detalhes-do-edital-da-Nova-Ferroeste
https://www.parana.pr.gov.br/aen/Noticia/Estado-divulga-o-edital-da-Nova-Ferroeste-ligacao-ferroviaria-que-vai-transformar-o
https://www.campograndenews.com.br/economia/para-estudos-de-terra-indigena-em-ms-leilao-da-nova-ferroeste-ficara-para-2025
https://www.semadesc.ms.gov.br/?p=120681</t>
        </is>
      </c>
      <c r="R3" s="12" t="inlineStr">
        <is>
          <t>Infraestrutura</t>
        </is>
      </c>
    </row>
    <row r="4">
      <c r="A4" s="21" t="inlineStr">
        <is>
          <t>PF03</t>
        </is>
      </c>
      <c r="B4" s="21" t="inlineStr">
        <is>
          <t>Flávio</t>
        </is>
      </c>
      <c r="C4" s="21" t="inlineStr">
        <is>
          <t>Infraestrutura / Centro-Oeste</t>
        </is>
      </c>
      <c r="D4" s="21" t="inlineStr">
        <is>
          <t>00:11</t>
        </is>
      </c>
      <c r="E4" s="21" t="inlineStr">
        <is>
          <t>Concluir a FICO (Ferrovia de Integração Centro-Oeste) e a FIOL (Ferrovia de Integração Oeste-Leste).</t>
        </is>
      </c>
      <c r="F4" s="28" t="n">
        <v>0.12</v>
      </c>
      <c r="G4" s="25">
        <f>IF(F4&gt;=0.7,"Alta",IF(F4&gt;=0.4,"Média","Baixa"))</f>
        <v/>
      </c>
      <c r="H4" s="21" t="inlineStr">
        <is>
          <t>FICO 1 e FIOL II podem ficar prontas até 2030. Mas o próprio governo fala em 2033 para a FIOL 1 e em 2037–2038 para o corredor completo, o que torna a conclusão das duas ferrovias no mandato muito improvável.</t>
        </is>
      </c>
      <c r="I4" s="21" t="inlineStr">
        <is>
          <t>Parcial: FIOL 1 com Porto Sul custa cerca de R$ 7 bilhões, segundo o ministro dos Transportes (Agência Infra). O lote 05FC da FIOL II custa R$ 467,9 milhões. A FICO 1 é paga pela Vale como contrapartida da renovação da EFVM. FIOL 3 e FICO 2 não têm orçamento.</t>
        </is>
      </c>
      <c r="J4" s="21" t="inlineStr">
        <is>
          <t>A FIOL II tinha cerca de 71% de execução física, e o governo prevê leiloá-la. A FIOL 1 deve passar da Bamin, que está inadimplente, para a Mota-Engil, com entrega prevista para 2033. A extensão da FICO 2 até Lucas do Rio Verde é investimento não obrigatório e depende de acordo com a operadora. Segundo o ministro, o corredor inteiro só fica pronto entre 2037 e 2038.</t>
        </is>
      </c>
      <c r="K4" s="21" t="inlineStr">
        <is>
          <t>O eixo atende o oeste da Bahia, o norte de Goiás e o leste de Mato Grosso, regiões de grãos e minério, e daria saída pelo Porto Sul (Ilhéus) com ligação à Norte-Sul.</t>
        </is>
      </c>
      <c r="L4" s="21" t="inlineStr">
        <is>
          <t>Depende da troca de concessionário com aval da ANTT, do leilão da FIOL II, de projeto e licenças da FIOL 3 (cerca de 900 km), de auditorias do TCU (contrato do Lote 5F encerrado com 64,66% executado) e de acordo com a Vale para a FICO 2. Não exige PEC.</t>
        </is>
      </c>
      <c r="M4" s="21" t="inlineStr">
        <is>
          <t>Média</t>
        </is>
      </c>
      <c r="N4" s="29" t="n">
        <v>0.15</v>
      </c>
      <c r="O4" s="21" t="inlineStr">
        <is>
          <t>Baixei de 15% para 12%. A mesma fonte usada pela análise original traz a previsão oficial de conclusão do corredor inteiro entre 2037 e 2038, que a análise não usou. Ela também diz que a FICO 2 é investimento não obrigatório e que a FIOL 3 só começa depois da FIOL 2. Sem buscas novas, porque o limite da sessão acabou.</t>
        </is>
      </c>
      <c r="P4" s="21" t="inlineStr">
        <is>
          <t>https://agenciainfra.com/blog/mota-engil-aguarda-autorizacao-da-antt-para-assumir-fiol-1-diz-ministro/
https://static.poder360.com.br/uploads/2026/10/001.733-2026-5-ASC-auditoria_Fiol_Lote-5F.pdf
https://www.bnews.com.br/noticias/politica/governo-lanca-edital-de-meio-bilhao-para-concluir-obras-da-fiol-na-bahia.html
https://www.gov.br/transportes/pt-br/assuntos/incentivos/incentivos-fiscais/reidi-requerimento-e-consulta/Portarian502de27abr2021ValecFIOLReidiDOU29abr2021.pdf</t>
        </is>
      </c>
      <c r="R4" s="12" t="inlineStr">
        <is>
          <t>Infraestrutura</t>
        </is>
      </c>
    </row>
    <row r="5">
      <c r="A5" s="21" t="inlineStr">
        <is>
          <t>PF04</t>
        </is>
      </c>
      <c r="B5" s="21" t="inlineStr">
        <is>
          <t>Flávio</t>
        </is>
      </c>
      <c r="C5" s="21" t="inlineStr">
        <is>
          <t>Infraestrutura</t>
        </is>
      </c>
      <c r="D5" s="21" t="inlineStr">
        <is>
          <t>00:10</t>
        </is>
      </c>
      <c r="E5" s="21" t="inlineStr">
        <is>
          <t>Ampliar concessões de rodovias com pedágio zero para motocicletas em todas elas, e continuar concessões de portos.</t>
        </is>
      </c>
      <c r="F5" s="30" t="n">
        <v>0.45</v>
      </c>
      <c r="G5" s="23">
        <f>IF(F5&gt;=0.7,"Alta",IF(F5&gt;=0.4,"Média","Baixa"))</f>
        <v/>
      </c>
      <c r="H5" s="21" t="inlineStr">
        <is>
          <t>Continuar as concessões é quase certo, e a isenção nas concessões federais novas é factível. Isentar motos em todas as rodovias, incluindo contratos vigentes e rodovias estaduais, esbarra em contratos e na divisão de competências. A frase da promessa é ambígua e pode se referir só às novas concessões, o que a deixaria no meio da faixa.</t>
        </is>
      </c>
      <c r="I5" s="21" t="inlineStr">
        <is>
          <t>Não estimável. Isentar motos nos contratos já em vigor exige reequilíbrio econômico-financeiro, com aumento da tarifa dos outros veículos, mais prazo de concessão ou compensação da União. O impacto depende da participação das motos na receita de cada praça.</t>
        </is>
      </c>
      <c r="J5" s="21" t="inlineStr">
        <is>
          <t>As concessões de rodovias e portos seguiram em governos de linhas diferentes, então essa parte é muito viável. A isenção geral não tem lei aprovada. O PL 312/2026, do senador Cleitinho (Republicanos/MG), prevê isenção em todas as rodovias, mas está 'aguardando despacho' desde 04/02/2026.</t>
        </is>
      </c>
      <c r="K5" s="21" t="inlineStr">
        <is>
          <t>A medida é nacional, com peso maior no Sul e no Sudeste, onde se concentram as rodovias pedagiadas. Beneficia motociclistas de entrega e quem usa a moto para ir trabalhar.</t>
        </is>
      </c>
      <c r="L5" s="21" t="inlineStr">
        <is>
          <t>Nas concessões federais novas, basta prever a isenção no edital. Nos contratos vigentes, é preciso lei ou renegociação com reequilíbrio, com risco de disputa judicial. Rodovias estaduais concedidas são de competência dos estados. Leilões de portos dependem da ANTAQ e do TCU.</t>
        </is>
      </c>
      <c r="M5" s="21" t="inlineStr">
        <is>
          <t>Média</t>
        </is>
      </c>
      <c r="N5" s="29" t="n">
        <v>0.45</v>
      </c>
      <c r="O5" s="21" t="inlineStr">
        <is>
          <t>Mantive 45%. Confirmei no site do Senado que o PL 312/2026 é do senador Cleitinho e está aguardando despacho desde fevereiro de 2026. A fonte da ALMT usada na análise original não foi verificada. A ambiguidade da promessa ('todas elas' pode significar só as novas concessões) foi registrada, mas não muda a nota. Sem buscas novas, porque o limite da sessão acabou.</t>
        </is>
      </c>
      <c r="P5" s="21" t="inlineStr">
        <is>
          <t>https://www25.senado.leg.br/web/atividade/materias/-/materia/172564
https://www12.senado.leg.br/ecidadania/visualizacaomateria?id=172564
https://www.al.mt.gov.br/storage/webdisco/cp/20260615104430170100.pdf</t>
        </is>
      </c>
      <c r="R5" s="12" t="inlineStr">
        <is>
          <t>Infraestrutura</t>
        </is>
      </c>
    </row>
    <row r="6">
      <c r="A6" s="21" t="inlineStr">
        <is>
          <t>PF05</t>
        </is>
      </c>
      <c r="B6" s="21" t="inlineStr">
        <is>
          <t>Flávio</t>
        </is>
      </c>
      <c r="C6" s="21" t="inlineStr">
        <is>
          <t>Infraestrutura / Conectividade</t>
        </is>
      </c>
      <c r="D6" s="21" t="inlineStr">
        <is>
          <t>00:10</t>
        </is>
      </c>
      <c r="E6" s="21" t="inlineStr">
        <is>
          <t>Tratar internet como infraestrutura e levar conexão a escolas, unidades de saúde e aldeias indígenas, inclusive para agricultura de precisão.</t>
        </is>
      </c>
      <c r="F6" s="30" t="n">
        <v>0.62</v>
      </c>
      <c r="G6" s="23">
        <f>IF(F6&gt;=0.7,"Alta",IF(F6&gt;=0.4,"Média","Baixa"))</f>
        <v/>
      </c>
      <c r="H6" s="21" t="inlineStr">
        <is>
          <t>Escolas e unidades de saúde devem avançar bastante até 2030. Mas a meta anterior (2026) foi perdida, o ritmo de cerca de 5 mil escolas por ano teria de dobrar, e a parte de aldeias e agricultura de precisão tende a ficar parcial. Por isso a nota fica no alto da faixa Média, e não na Alta.</t>
        </is>
      </c>
      <c r="I6" s="21" t="inlineStr">
        <is>
          <t>Cerca de R$ 8,8 a 9 bilhões na Estratégia Nacional de Escolas Conectadas, dos quais cerca de R$ 6,5 bilhões vêm do Novo PAC. Há também recursos do Fust e obrigações do leilão do 5G. O MME leva energia, via PAC, às escolas que não têm. Fontes: MCom/MEC, citados pela imprensa.</t>
        </is>
      </c>
      <c r="J6" s="21" t="inlineStr">
        <is>
          <t>É uma política já em andamento e paga em boa parte por fundos setoriais e obrigações das operadoras. Mas a meta oficial era conectar as 138,3 mil escolas até 2026, e só cerca de 99 mil estavam conectadas em 2026 (eram cerca de 94 mil em 2025). Ou seja, a meta foi descumprida e o ritmo foi de cerca de 5 mil escolas por ano.</t>
        </is>
      </c>
      <c r="K6" s="21" t="inlineStr">
        <is>
          <t>As maiores lacunas estão no Norte (20,4 mil escolas na meta; no Acre, menos da metade conectada) e no Nordeste rural (49,9 mil escolas). Aldeias dependem de satélite e, às vezes, de levar energia primeiro. A cobertura 4G/5G no campo para agricultura de precisão ainda é baixa.</t>
        </is>
      </c>
      <c r="L6" s="21" t="inlineStr">
        <is>
          <t>Não exige mudança na lei. Exige coordenação entre MEC, MCom, MME, estados e municípios, logística na Amazônia, contratos de manutenção e pagamento contínuo do serviço. A cobertura rural depende do calendário de obrigações do 5G.</t>
        </is>
      </c>
      <c r="M6" s="21" t="inlineStr">
        <is>
          <t>Média</t>
        </is>
      </c>
      <c r="N6" s="29" t="n">
        <v>0.72</v>
      </c>
      <c r="O6" s="21" t="inlineStr">
        <is>
          <t>Baixei de 72% para 62%, saindo da faixa Alta para a Média. A fonte original (2023) mostra que a meta era universalizar o acesso nas escolas até 2026, e isso não aconteceu. Esse histórico de execução foi ignorado pela análise original e, pela mesma régua usada nas ferrovias, pesa contra a nota. Para cumprir até 2030, o ritmo teria de dobrar. Sem buscas novas, porque o limite da sessão acabou.</t>
        </is>
      </c>
      <c r="P6" s="21" t="inlineStr">
        <is>
          <t>https://www.itatiaia.com.br/politica/governo-federal-lanca-escolas-conectadas-meta-e-ter-1388-mil-escolas-publicas-com-internet-de-qualidade-ate-2026/
https://brasil61.com/n/internet-chega-a-quase-metade-das-escolas-publicas-do-acre-mcom260240
https://brasil61.com/n/internet-chega-a-mais-da-metade-das-escolas-publicas-do-amazonas-mcom260243
https://www.conexaoto.com.br/2026/04/11/tocantins-supera-70-das-escolas-publicas-conectadas-a-internet</t>
        </is>
      </c>
      <c r="R6" s="12" t="inlineStr">
        <is>
          <t>Infraestrutura</t>
        </is>
      </c>
    </row>
    <row r="7">
      <c r="A7" s="21" t="inlineStr">
        <is>
          <t>PF06</t>
        </is>
      </c>
      <c r="B7" s="21" t="inlineStr">
        <is>
          <t>Flávio</t>
        </is>
      </c>
      <c r="C7" s="21" t="inlineStr">
        <is>
          <t>Economia / Renda</t>
        </is>
      </c>
      <c r="D7" s="21" t="inlineStr">
        <is>
          <t>00:28</t>
        </is>
      </c>
      <c r="E7" s="21" t="inlineStr">
        <is>
          <t>Reajustar salário mínimo, aposentadorias, BPC e aposentadoria rural acima da inflação, e não privatizar Banco do Brasil, Caixa e Petrobras.</t>
        </is>
      </c>
      <c r="F7" s="30" t="n">
        <v>0.68</v>
      </c>
      <c r="G7" s="23">
        <f>IF(F7&gt;=0.7,"Alta",IF(F7&gt;=0.4,"Média","Baixa"))</f>
        <v/>
      </c>
      <c r="H7" s="21" t="inlineStr">
        <is>
          <t>Para cumprir o núcleo da promessa (mínimo, BPC e aposentadoria rural acima da inflação e não privatizar) basta manter o que já existe, e Flávio reafirmou isso na sabatina de 16/10. Ele também disse que manterá o ganho real para aposentados 'como ocorre hoje', o que limita a promessa ao piso. O risco que resta é a pressão fiscal pela desindexação e a leitura ampla de 'todas as aposentadorias'.</t>
        </is>
      </c>
      <c r="I7" s="21" t="inlineStr">
        <is>
          <t>Cada R$ 1 a mais no salário mínimo custa cerca de R$ 413 milhões por ano (PLOA 2027, segundo SBT News, que cita o Ministério da Fazenda). O PLOA 2027 prevê mínimo de R$ 1.741, alta de R$ 120 (7,4%) sobre os R$ 1.621 atuais. Manter a regra atual não cria custo além do que já está projetado. Dar ganho real a todas as aposentadorias acima do piso seria custo novo de dezenas de bilhões por ano; não estimado oficialmente.</t>
        </is>
      </c>
      <c r="J7" s="21" t="inlineStr">
        <is>
          <t>O PLOA 2027 prevê receita líquida de R$ 2,849 trilhões e despesa de R$ 2,83 trilhões. A meta de primário é de R$ 73,2 bilhões, e o governo projeta R$ 83,4 bilhões após deduções. A regra atual (Lei 14.663/2023, com limite de 0,6% a 2,5% de ganho real fixado pela Lei 15.077/2024) já garante ganho real ao piso e aos benefícios vinculados a ele. A fonte de 'mais de R$ 200 bilhões por ano' que Flávio citou é a securitização de créditos da União (O Liberal, 16/10/2026). Essa receita é financeira e não amplia o limite de despesa do arcabouço.</t>
        </is>
      </c>
      <c r="K7" s="21" t="inlineStr">
        <is>
          <t>O alcance é nacional, mas o peso é maior no Nordeste, no Norte e nos municípios pequenos, onde BPC e aposentadoria rural de um salário mínimo são parte central da renda local.</t>
        </is>
      </c>
      <c r="L7" s="21" t="inlineStr">
        <is>
          <t>Manter a regra atual não exige nada, e não privatizar BB, Caixa e Petrobras depende só do Executivo. A pressão crescente da regra do mínimo sobre a Previdência e o BPC, num quadro de discricionárias espremidas, pode levar o próximo governo a rever a indexação, e o mercado cobra isso. Ganho real para todas as aposentadorias exigiria lei e espaço no teto.</t>
        </is>
      </c>
      <c r="M7" s="21" t="inlineStr">
        <is>
          <t>Média</t>
        </is>
      </c>
      <c r="N7" s="29" t="n">
        <v>0.62</v>
      </c>
      <c r="O7" s="21" t="inlineStr">
        <is>
          <t>Subi de 62 para 68. A análise original tratou os 'R$ 200 bilhões' como um ajuste de corte de gastos que entraria em choque com a promessa. Segundo O Liberal, porém, o valor é receita prometida com securitização de créditos da União, não corte. Na mesma sabatina, Flávio se comprometeu a manter o ganho real dos aposentados 'como ocorre hoje' e disse que não vai desvincular. Com isso, a promessa se aproxima de manter o que já existe e o choque com a promessa fiscal fica menor do que o original afirmou. Fiz uma correção: a fonte SBT não menciona aposentadorias nem BPC e não traz o R$ 200 bi. Também não consegui confirmar a afirmação de que ele evitou o compromisso em agosto. Fica em Média, no limite da faixa, porque a indexação deve sofrer pressão fiscal até 2030.</t>
        </is>
      </c>
      <c r="P7" s="21" t="inlineStr">
        <is>
          <t>https://www.congressoemfoco.com.br/noticia/121825/projeto-de-orcamento-de-2027-preve-salario-minimo-de-r-1-741
https://www.oliberal.com/politica/flavio-diz-que-nao-vai-desvincular-reajuste-do-minimo-e-nem-alterar-pisos-de-saude-e-educacao-1.1183567
https://sbtnews.sbt.com.br/noticia/eleicoes/flavio-promete-reajuste-do-minimo-acima-da-inflacao
https://sbtnews.sbt.com.br/noticia/politica/salario-minimo-de-2027-sera-de-r-1-741-diz-durigan</t>
        </is>
      </c>
      <c r="R7" s="12" t="inlineStr">
        <is>
          <t>Economia</t>
        </is>
      </c>
    </row>
    <row r="8">
      <c r="A8" s="21" t="inlineStr">
        <is>
          <t>PF07</t>
        </is>
      </c>
      <c r="B8" s="21" t="inlineStr">
        <is>
          <t>Flávio</t>
        </is>
      </c>
      <c r="C8" s="21" t="inlineStr">
        <is>
          <t>Mobilidade</t>
        </is>
      </c>
      <c r="D8" s="21" t="inlineStr">
        <is>
          <t>00:17</t>
        </is>
      </c>
      <c r="E8" s="21" t="inlineStr">
        <is>
          <t>Apoiar tarifa zero nos ônibus nos fins de semana.</t>
        </is>
      </c>
      <c r="F8" s="28" t="n">
        <v>0.3</v>
      </c>
      <c r="G8" s="25">
        <f>IF(F8&gt;=0.7,"Alta",IF(F8&gt;=0.4,"Média","Baixa"))</f>
        <v/>
      </c>
      <c r="H8" s="21" t="inlineStr">
        <is>
          <t>A proposta não tem fonte de financiamento nem instrumento legal definidos, gera custo bilionário recorrente dentro do arcabouço e a competência é municipal. A adesão de Flávio é recente e genérica, então uma tarifa zero nacional nos fins de semana até 2030 é pouco provável.</t>
        </is>
      </c>
      <c r="I8" s="21" t="inlineStr">
        <is>
          <t>De R$ 12 bilhões por ano (governo) a R$ 20,8 bilhões por ano (NTU, Diário do Transporte e DGABC). O deputado Jilmar Tatto estima R$ 16 bilhões por ano, cerca de 26% dos R$ 61 bilhões em emendas de 2026 (Congresso em Foco).</t>
        </is>
      </c>
      <c r="J8" s="21" t="inlineStr">
        <is>
          <t>Seria uma despesa nova e permanente, que teria de caber no teto do arcabouço, num PLOA 2027 já apertado. Flávio não indicou fonte de financiamento. A PEC de Lula financia a medida com emendas parlamentares, e para o Congresso isso custa poder político.</t>
        </is>
      </c>
      <c r="K8" s="21" t="inlineStr">
        <is>
          <t>O transporte coletivo é competência municipal (art. 30, V, da CF). As experiências de tarifa zero existentes estão concentradas em municípios pequenos e médios. Nas metrópoles do Sudeste o custo por município é muito maior e há contratos de concessão em vigor.</t>
        </is>
      </c>
      <c r="L8" s="21" t="inlineStr">
        <is>
          <t>Uma fonte federal permanente exige PEC (308 votos na Câmara e 49 no Senado, em dois turnos) ou lei com fonte definida e repasse aos municípios. Os contratos de concessão precisariam ser reequilibrados. 'Apoiar' é um compromisso fraco: se a medida não sair, fica difícil responsabilizar o candidato.</t>
        </is>
      </c>
      <c r="M8" s="21" t="inlineStr">
        <is>
          <t>Média</t>
        </is>
      </c>
      <c r="N8" s="29" t="n">
        <v>0.32</v>
      </c>
      <c r="O8" s="21" t="inlineStr">
        <is>
          <t>Baixei de 32 para 30 e mantive na faixa Baixa. Confirmei o custo (R$ 16 bi por ano, 26% das emendas) e o quórum da PEC no Congresso em Foco. Não consegui confirmar duas afirmações do original: que o presidente da Câmara 'já resiste' e que a PEC foi enviada em 21/10 (a reportagem de 15/10 diz que o texto ainda não tinha sido apresentado). Por isso não as usei como base. O pequeno ajuste para baixo vem de dois pontos: falta qualquer fonte de financiamento proposta por Flávio e o verbo 'apoiar' é fraco. Para ser coerente, a mesma promessa de Lula deve ser avaliada com o mesmo obstáculo de PEC e financiamento.</t>
        </is>
      </c>
      <c r="P8" s="21" t="inlineStr">
        <is>
          <t>https://www.congressoemfoco.com.br/noticia/123316/lula-propoe-usar-emendas-para-financiar-tarifa-zero-aos-fins-de-semana
https://diariodotransporte.com.br/2026/10/16/tarifa-zero-aos-fins-de-semana-pode-custar-r-208-bilhoes-por-ano-calcula-ntu/
https://www.dgabc.com.br/Noticia/4354042/tarifa-zero-governo-preve-r$-12-bi-mas-setor-estima-r$-20-8-bi
https://timesbrasil.com.br/brasil/lula-diz-que-enviara-pec-da-tarifa-zero-ao-congresso-nesta-quarta-21-custo-pode-atingir-r-16-bilhoes-anuais/</t>
        </is>
      </c>
      <c r="R8" s="12" t="inlineStr">
        <is>
          <t>Mobilidade</t>
        </is>
      </c>
    </row>
    <row r="9">
      <c r="A9" s="21" t="inlineStr">
        <is>
          <t>PF08</t>
        </is>
      </c>
      <c r="B9" s="21" t="inlineStr">
        <is>
          <t>Flávio</t>
        </is>
      </c>
      <c r="C9" s="21" t="inlineStr">
        <is>
          <t>Agro / Centro-Oeste</t>
        </is>
      </c>
      <c r="D9" s="21" t="inlineStr">
        <is>
          <t>00:24</t>
        </is>
      </c>
      <c r="E9" s="21" t="inlineStr">
        <is>
          <t>Aprovar lei que proíba contingenciar recursos do seguro rural e do Plano Safra; dar previsibilidade e segurança jurídica ao agro; digitalizar a concessão da aposentadoria rural.</t>
        </is>
      </c>
      <c r="F9" s="30" t="n">
        <v>0.64</v>
      </c>
      <c r="G9" s="23">
        <f>IF(F9&gt;=0.7,"Alta",IF(F9&gt;=0.4,"Média","Baixa"))</f>
        <v/>
      </c>
      <c r="H9" s="21" t="inlineStr">
        <is>
          <t>A blindagem legal tem custo baixo, base parlamentar forte e precedente, e a digitalização é administrativa. A blindagem só pelo contingenciamento, porém, pode não evitar os bloqueios do arcabouço, que foi o que cortou o PSR em 2026, e a parte de 'segurança jurídica' é vaga. Por isso fica na faixa média-alta, e não na Alta.</t>
        </is>
      </c>
      <c r="I9" s="21" t="inlineStr">
        <is>
          <t>Blindar o PSR custa pouco no total: o bloqueio de 2026 foi de cerca de R$ 518 milhões (R$ 461,7 milhões mais R$ 56 milhões), e o setor pede cerca de R$ 4 bilhões por ano. A equalização de juros do Plano Safra, que tem R$ 525 bilhões em crédito no ciclo 2026/27, custa bilhões por ano. Digitalizar a aposentadoria rural tem custo baixo.</t>
        </is>
      </c>
      <c r="J9" s="21" t="inlineStr">
        <is>
          <t>Excluir essas despesas dos cortes não aumenta o teto do arcabouço (LC 200/2023), só transfere o corte para outras discricionárias. É preciso distinguir dois mecanismos. O contingenciamento (art. 9 da LRF) responde a frustração de receita. O bloqueio responde ao limite de despesa do arcabouço. Os cortes do PSR em 2026 foram atribuídos a 'restrições fiscais', e uma lei que proíba só o contingenciamento pode não impedir o bloqueio.</t>
        </is>
      </c>
      <c r="K9" s="21" t="inlineStr">
        <is>
          <t>O Centro-Oeste (MT, GO, MS) e o Sul (RS, PR) concentram a demanda por seguro rural e crédito. No Sul as perdas climáticas se repetem, e o agro goiano reclamou de menos crédito no ciclo 2026/27.</t>
        </is>
      </c>
      <c r="L9" s="21" t="inlineStr">
        <is>
          <t>Mexer na LRF exige lei complementar (maioria absoluta: 257 deputados e 41 senadores). A Frente Parlamentar da Agropecuária (FPA) tem base ampla e há precedente: a LC 177/2021 blindou o FNDCT. Para valer de fato, a proteção teria de alcançar também o bloqueio pelo teto, e a equipe econômica resistiria. 'Previsibilidade e segurança jurídica' não é mensurável. A digitalização depende do INSS, que já usa autodeclaração e CNIS rural, então a promessa é em parte algo já em curso.</t>
        </is>
      </c>
      <c r="M9" s="21" t="inlineStr">
        <is>
          <t>Média</t>
        </is>
      </c>
      <c r="N9" s="29" t="n">
        <v>0.7</v>
      </c>
      <c r="O9" s="21" t="inlineStr">
        <is>
          <t>Baixei de 70 para 64 e passei de Alta para Média por três motivos. Primeiro, a análise original não distinguiu contingenciamento (LRF) de bloqueio (teto do arcabouço), e foi o bloqueio que atingiu o PSR em 2026. Uma lei que proíba só o contingenciamento pode deixar a promessa sem efeito. Segundo, não consegui confirmar a tramitação do projeto de Tereza Cristina citado no original: a busca estava sem saldo e o site do Canal Rural retornou erro 403. Terceiro, descartei a fonte cnabrasil.org.br, que é de entidade de classe, não é oficial nem jornalística.</t>
        </is>
      </c>
      <c r="P9" s="21" t="inlineStr">
        <is>
          <t>https://www.canalrural.com.br/politica/bloqueio-de-r-4617-milhoes-no-psr-e-atribuido-a-restricoes-fiscais/
https://comprerural.com/governo-bloqueia-mais-r-56-milhoes-do-seguro-rural-as-vesperas-do-plano-safra-2026-27/
https://www.jornalopcao.com.br/ultimas-noticias/plano-safra-2026-2027-anuncia-r-525-bilhoes-agro-de-goias-ve-reducao-do-credito-e-cobra-seguro-rural-842176/
https://cnabrasil.org.br/noticias/sistema-faep-pede-r-670-bilhoes-no-plano-safra-2026-27</t>
        </is>
      </c>
      <c r="R9" s="12" t="inlineStr">
        <is>
          <t>Agro</t>
        </is>
      </c>
    </row>
    <row r="10">
      <c r="A10" s="21" t="inlineStr">
        <is>
          <t>PF09</t>
        </is>
      </c>
      <c r="B10" s="21" t="inlineStr">
        <is>
          <t>Flávio</t>
        </is>
      </c>
      <c r="C10" s="21" t="inlineStr">
        <is>
          <t>Segurança / Fronteiras</t>
        </is>
      </c>
      <c r="D10" s="21" t="inlineStr">
        <is>
          <t>00:25</t>
        </is>
      </c>
      <c r="E10" s="21" t="inlineStr">
        <is>
          <t>Fazer pacto com governadores do Centro-Oeste contra o crime organizado e as rotas de tráfico nas fronteiras.</t>
        </is>
      </c>
      <c r="F10" s="30" t="n">
        <v>0.68</v>
      </c>
      <c r="G10" s="23">
        <f>IF(F10&gt;=0.7,"Alta",IF(F10&gt;=0.4,"Média","Baixa"))</f>
        <v/>
      </c>
      <c r="H10" s="21" t="inlineStr">
        <is>
          <t>O núcleo da promessa é firmar um pacto com governadores. Isso cabe ao Executivo, tem precedentes e conta com governadores motivados pela escalada da violência na fronteira de MS. A probabilidade de cumprimento formal é alta. Reduzi a nota de 72 para 68 (limite superior da faixa Média) porque 'substancialmente cumprida' supõe ação contínua contra as rotas. O plano associado (força militar de fronteira, dobrar o investimento) não tem financiamento definido, e a PEC da Segurança está parada no plenário do Senado. Também não encontrei, nas fontes abertas, o pacto com governadores do Centro-Oeste citado como item do plano de Flávio: a reportagem do Correio do Estado sobre as propostas de fronteira não fala em 'pacto'.</t>
        </is>
      </c>
      <c r="I10" s="21" t="inlineStr">
        <is>
          <t>Baixo para formalizar o pacto, que é um acordo político e administrativo. Para operar de fato (Ficco, inteligência integrada, efetivo da PF/PRF/Forças Armadas na faixa de fronteira, tecnologia de vigilância), algumas centenas de milhões a poucos bilhões de reais por ano. A 'força de elite' de fronteira que o plano de Flávio propõe e a promessa de dobrar o investimento federal em segurança em quatro anos ficariam bem acima disso, e o candidato não indicou de onde viria o dinheiro.</t>
        </is>
      </c>
      <c r="J10" s="21" t="inlineStr">
        <is>
          <t>É despesa discricionária disputada dentro do arcabouço fiscal. Segundo o Correio do Estado (19/10/2026), Flávio cita dados da Fazenda de que a União destina 0,4% dos gastos à segurança e promete dobrar o investimento sem detalhar as fontes. O FNSP, as emendas e a estrutura federal já existente (programa Brasil Contra o Crime Organizado, lançado em maio de 2026, e as Ficco) dão base para operações conjuntas sem lei nova.</t>
        </is>
      </c>
      <c r="K10" s="21" t="inlineStr">
        <is>
          <t>MS e MT fazem fronteira com Paraguai e Bolívia. Segundo o Correio do Estado (out/2026), a fronteira sul-mato-grossense vive uma guerra crescente entre CV e PCC pelo controle do tráfico, o que deixa os governadores interessados em cooperar. GO e DF funcionam como corredores logísticos. Os governadores eleitos em 2026 tomam posse junto com o presidente, e o alinhamento político da região tende a favorecer um pacto com um governo do PL.</t>
        </is>
      </c>
      <c r="L10" s="21" t="inlineStr">
        <is>
          <t>Pelo art. 144 da CF, a segurança pública é sobretudo dos estados: a União coordena, mas não comanda as polícias estaduais. A PEC 18/2025, que reforçaria a coordenação federal, foi aprovada na CCJ do Senado, mas a votação em plenário saiu da pauta (Correio do Estado, 19/10/2026). Faltam efetivo e continuidade orçamentária. Iniciativas anteriores para a fronteira (ENAFRON, PEF, PPIF) tiveram resultados limitados. Assinar o pacto é fácil; o difícil é reduzir as rotas de forma mensurável.</t>
        </is>
      </c>
      <c r="M10" s="21" t="inlineStr">
        <is>
          <t>Média</t>
        </is>
      </c>
      <c r="N10" s="29" t="n">
        <v>0.72</v>
      </c>
      <c r="O10" s="21" t="inlineStr">
        <is>
          <t>RECHECADO (2ª rodada). Fiz só 1 das 3 buscas planejadas: o limite de buscas da sessão (200, compartilhado entre os agentes) acabou nas consultas seguintes. Abri e confirmei três páginas: Correio do Estado (19/10/2026), Reuters via Internazionale (18/06/2026) e CNN Brasil (28/05/2026). Fatos novos de 2026 que o agente original não tinha: o programa Brasil Contra o Crime Organizado (maio de 2026), a situação da PEC 18/2025 (aprovada na CCJ, retirada da pauta do plenário pelo presidente do Senado), o plano de Flávio com força de elite de fronteira e a meta de dobrar o investimento sem fonte indicada, e a escalada CV x PCC em MS. A nota cai 4 pontos, de Alta para Média, porque a promessa depende de financiamento não especificado e a PEC está travada. Não consegui abrir páginas oficiais da Câmara/Senado (proposição errada ou domínio inacessível).</t>
        </is>
      </c>
      <c r="P10" s="21" t="inlineStr">
        <is>
          <t>https://correiodoestado.com.br/cidades/conflito-na-fronteira-ocupa-espaco-entre-as-propostas-dos-candidatos-a/475016/
https://www.internazionale.it/ultime-notizie-reuters/2026/06/18/brazil-s-flavio-bolsonaro-pitches-crime-crackdown-to-boost-presidential-bid
https://www.cnnbrasil.com.br/politica/grande-dia-diz-flavio-apos-eua-classificarem-pcc-e-cv-como-terroristas/</t>
        </is>
      </c>
      <c r="R10" s="12" t="inlineStr">
        <is>
          <t>Segurança</t>
        </is>
      </c>
    </row>
    <row r="11">
      <c r="A11" s="21" t="inlineStr">
        <is>
          <t>PF10</t>
        </is>
      </c>
      <c r="B11" s="21" t="inlineStr">
        <is>
          <t>Flávio</t>
        </is>
      </c>
      <c r="C11" s="21" t="inlineStr">
        <is>
          <t>Sul / RS</t>
        </is>
      </c>
      <c r="D11" s="21" t="inlineStr">
        <is>
          <t>00:31</t>
        </is>
      </c>
      <c r="E11" s="21" t="inlineStr">
        <is>
          <t>Ajudar o RS a sair da dívida com a União e financiar bombas d'água e comportas contra enchentes em Porto Alegre e região.</t>
        </is>
      </c>
      <c r="F11" s="30" t="n">
        <v>0.43</v>
      </c>
      <c r="G11" s="23">
        <f>IF(F11&gt;=0.7,"Alta",IF(F11&gt;=0.4,"Média","Baixa"))</f>
        <v/>
      </c>
      <c r="H11" s="21" t="inlineStr">
        <is>
          <t>A parte das obras (bombas, comportas, diques) é viável até 2030. O custo é pequeno perto do orçamento federal, e em jul/2024 a União liberou R$ 6,5 bilhões para macrodrenagem no RS, dos quais R$ 2 bilhões para a Região Metropolitana de Porto Alegre. A execução, porém, está atrasada: um ano depois esses recursos não tinham sido usados e uma licitação fracassou. 'Ajudar a sair da dívida' tende a se resumir a implementar o Propag, que o RS já pediu. Quitar ou eliminar uma dívida de R$ 106,5 bilhões até 2030 é inviável. A média das duas partes fica na faixa média. As fontes OK confirmam os dados centrais.</t>
        </is>
      </c>
      <c r="I11" s="21" t="inlineStr">
        <is>
          <t>A dívida do RS com a União é de R$ 106,5 bilhões. O Estado pediu abatimento de 20% (cerca de R$ 21 bilhões), pago com cessão de FPE futuro (R$ 12,8 bilhões entre 2032 e 2055), recebíveis do FNDR (R$ 6,6 bilhões entre 2029 e 2055) e crédito da Corsan (R$ 1,8 bilhão). A Prefeitura orça em R$ 401 milhões os reparos do sistema de Porto Alegre. Há ainda R$ 2 bilhões federais destinados à RMPA para diques, comportas e bombas.</t>
        </is>
      </c>
      <c r="J11" s="21" t="inlineStr">
        <is>
          <t>O RS pediu adesão ao Propag (LC 212/2025), no 'pacote 1', com juro real zero. O saldo segue corrigido monetariamente, e parte da correção vai ao Fundo de Equalização Federativa e a investimentos no Estado. A Sefaz-RS projeta economia de R$ 42 bilhões nominais até 2057. O Tesouro calcula que o RS deixaria de pagar R$ 45 bilhões entre 2027 e 2035, e que o estoque, que poderia chegar a R$ 140 bilhões, cairia para R$ 112 bilhões. Os pagamentos estão suspensos até 2027 por causa das enchentes (cerca de R$ 14 bilhões poupados), e até lá o RS está dispensado de aportes ao Fundo. Perdoar ou quitar a dívida teria custo fiscal alto para a União e abriria precedente para outros estados. Financiar bombas e comportas é barato em comparação.</t>
        </is>
      </c>
      <c r="K11" s="21" t="inlineStr">
        <is>
          <t>O sistema de Porto Alegre foi projetado na década de 1970 e tem 68 km de diques, 23 casas de bombas e 14 comportas. Na enchente de 2024, 19 das 23 casas de bombas foram desligadas. Dos 309 equipamentos públicos destruídos, 278 estão em funcionamento, segundo a Prefeitura. Um ano depois, a licitação para elevar os painéis elétricos tinha fracassado, a obra dos diques estava parada em trechos com famílias morando em cima, e as comportas 11 a 14 ainda eram fechadas com sacos de areia e argila. Eldorado do Sul só tem planejado um dique de quase 9 km.</t>
        </is>
      </c>
      <c r="L11" s="21" t="inlineStr">
        <is>
          <t>Tirar o RS da dívida além do Propag exige lei complementar e tratamento isonômico entre os estados, o que enfrenta resistência federativa e fiscal. As obras anticheias são executadas por estado e município e dependem de projeto, licitação (uma já fracassou), reassentamento de famílias e licenciamento. O histórico recente é de atraso.</t>
        </is>
      </c>
      <c r="M11" s="21" t="inlineStr">
        <is>
          <t>Alta</t>
        </is>
      </c>
      <c r="N11" s="29" t="n">
        <v>0.43</v>
      </c>
      <c r="O11" s="21" t="inlineStr">
        <is>
          <t>REAVALIADO SEM FONTES ENVIESADAS. A viabilidade (43%) e a confiança se mantêm. Ajustes de precisão em relação ao texto do outro agente: (1) o sistema foi 'projetado' nos anos 1970, como diz a Prefeitura, e não 'começou a ser construído'; (2) foram retirados dois dados que não aparecem em nenhuma fonte OK: o juro real anterior de 4% e a adesão ficta até maio/2027; (3) 278 equipamentos 'estão em funcionamento', e não 'voltam a funcionar'; (4) os R$ 6,5 bilhões e os R$ 2 bilhões não usados vêm do Poder360, e não do SBT. Revisor: Abri as cinco fontes OK. O Governo do RS confirma a dívida de R$ 106,5 bilhões, os 20%, o FPE, o FNDR, a Corsan e os R$ 42 bilhões. A Folha PE confirma os R$ 45 bilhões entre 2027 e 2035 e a dispensa de aportes até 2027. O SBT confirma 19 de 23 casas de bombas desligadas, a licitação fracassada, os diques parados por famílias e o dique de 9 km em Eldorado. O Poder360 confirma os sacos de areia e os R$ 2 bilhões de um total de R$ 6,5 bilhões sem uso. A Prefeitura confirma os R$ 401 milhões, os números 309/278 e os 68 km, 23 casas de bombas e 14 comportas.</t>
        </is>
      </c>
      <c r="P11" s="21" t="inlineStr">
        <is>
          <t>https://estado.rs.gov.br/governo-do-estado-encaminha-a-uniao-pedido-de-adesao-ao-propag
https://prefeitura.poa.br/gp/noticias/prefeito-reafirma-pedido-de-recursos-do-estado-para-obras-de-protecao-contra-cheias
https://www.folhape.com.br/economia/ceron-esclarece-que-rs-esta-dispensado-de-aportes-a-fundo-do-propag/386185/
https://sbtnews.sbt.com.br/noticia/brasil/sistema-anticheias-de-porto-alegre-tem-obras-paralisadas-um-ano-apos-a-tragedia</t>
        </is>
      </c>
      <c r="R11" s="12" t="inlineStr">
        <is>
          <t>Sul</t>
        </is>
      </c>
    </row>
    <row r="12">
      <c r="A12" s="21" t="inlineStr">
        <is>
          <t>PF11</t>
        </is>
      </c>
      <c r="B12" s="21" t="inlineStr">
        <is>
          <t>Flávio</t>
        </is>
      </c>
      <c r="C12" s="21" t="inlineStr">
        <is>
          <t>Sul / Segurança</t>
        </is>
      </c>
      <c r="D12" s="21" t="inlineStr">
        <is>
          <t>00:32</t>
        </is>
      </c>
      <c r="E12" s="21" t="inlineStr">
        <is>
          <t>Colocar a Marinha (tropa de elite) no Porto de Paranaguá para combater o tráfico de armas e drogas.</t>
        </is>
      </c>
      <c r="F12" s="30" t="n">
        <v>0.65</v>
      </c>
      <c r="G12" s="23">
        <f>IF(F12&gt;=0.7,"Alta",IF(F12&gt;=0.4,"Média","Baixa"))</f>
        <v/>
      </c>
      <c r="H12" s="21" t="inlineStr">
        <is>
          <t>Mandar a Marinha para Paranaguá é ato do Executivo (LC 97/1999, por GLO ou por atribuições subsidiárias), custa pouco e não depende do Congresso. Por isso, a parte formal é bastante viável. O mais provável, porém, é uma presença temporária ou um reforço do patrulhamento naval, sem virar uma operação permanente que reduza o tráfico de forma mensurável. O tráfico pelo porto depende sobretudo de contêineres e cargas, que são fiscalizados por PF e Receita. As fontes permitidas sustentam o diagnóstico.</t>
        </is>
      </c>
      <c r="I12" s="21" t="inlineStr">
        <is>
          <t>Baixo a moderado. Estimativa própria, sem número oficial: de dezenas a poucas centenas de milhões de reais por ano em diárias, logística e embarcações da Marinha e dos Fuzileiros Navais, pagos com o orçamento discricionário da Defesa.</t>
        </is>
      </c>
      <c r="J12" s="21" t="inlineStr">
        <is>
          <t>Paranaguá é rota de saída de cocaína. Em nov/2025, as Polícias Civil e Militar do PR apreenderam 1,2 tonelada que, segundo a polícia, iria para a Europa em navios pelo porto. Em 2023, a Operação Woodpecker (PF e Receita) ligou ao porto mais de 3 toneladas escondidas em cargas de madeira para exportação. O custo da medida é pequeno, mas disputa espaço com as despesas discricionárias da Defesa, que estão comprimidas.</t>
        </is>
      </c>
      <c r="K12" s="21" t="inlineStr">
        <is>
          <t>A cocaína sai principalmente escondida em cargas de exportação, e há casos de droga içada por mergulhadores nos navios. Desde out/2020, PF (Nepom) e PM (Patrulha Costeira) fazem patrulha marítima conjunta com lanchas na Baía de Paranaguá e entre o continente e as ilhas. A Marinha não participava dessa patrulha, mas o grupo pretendia incluí-la. A Marinha já atua localmente como Autoridade Marítima.</t>
        </is>
      </c>
      <c r="L12" s="21" t="inlineStr">
        <is>
          <t>Para a Marinha atuar em segurança pública é preciso um decreto de GLO (art. 142 da CF e LC 97/1999), que é temporário e excepcional. A alternativa é usar as atribuições subsidiárias da Marinha no patrulhamento naval. A repressão ao tráfico em cargas depende sobretudo de PF e Receita, com inteligência e escaneamento. As Forças Armadas costumam resistir a missões policiais permanentes. A medida não depende do Congresso.</t>
        </is>
      </c>
      <c r="M12" s="21" t="inlineStr">
        <is>
          <t>Média</t>
        </is>
      </c>
      <c r="N12" s="29" t="n">
        <v>0.65</v>
      </c>
      <c r="O12" s="21" t="inlineStr">
        <is>
          <t>REAVALIADO SEM FONTES ENVIESADAS. A viabilidade (65%) e a confiança se mantêm. Ajustes de precisão: (1) a Agência Brasil não cita a Europa como destino da Operação Woodpecker, só 'exterior'; o destino Europa vem da Band B, no caso de 2025; (2) a patrulha conjunta é de PF e PM, começou em 2020 e a Marinha não participava, segundo a Portos do Paraná. Foi mantida a retirada dos dados da Gazeta do Povo e do O Antagonista e da menção ao alinhamento político do governo estadual. Revisor: Abri as quatro fontes. A Band B confirma 1,2 tonelada, Polícia Civil e PM, destino Europa em navios e data de 11/11/2025. A Agência Brasil confirma a Woodpecker (PF e Receita), mais de 3 toneladas, madeira e Paranaguá, mas não fala em Europa. A Portos do Paraná confirma a patrulha PF+PM com lanchas desde 2020, sem a Marinha. A LC 97/1999 sustenta a parte legal. Não há resíduo de fonte excluída.</t>
        </is>
      </c>
      <c r="P12" s="21" t="inlineStr">
        <is>
          <t>https://www.bandab.com.br/seguranca/policia-apreende-mais-de-1-tonelada-de-cocaina-em-paranagua/amp/
https://www.planalto.gov.br/ccivil_03/leis/lcp/lcp97.htm
https://agenciabrasil.ebc.com.br/geral/noticia/2023-07/pf-mira-quadrilha-que-enviava-cocaina-em-carga-madeira
https://www.portosdoparana.pr.gov.br/Noticia/Acao-conjunta-intensifica-patrulha-maritima-na-regiao-dos-portos</t>
        </is>
      </c>
      <c r="R12" s="12" t="inlineStr">
        <is>
          <t>Sul</t>
        </is>
      </c>
    </row>
    <row r="13">
      <c r="A13" s="21" t="inlineStr">
        <is>
          <t>PF12</t>
        </is>
      </c>
      <c r="B13" s="21" t="inlineStr">
        <is>
          <t>Flávio</t>
        </is>
      </c>
      <c r="C13" s="21" t="inlineStr">
        <is>
          <t>Norte / Saneamento</t>
        </is>
      </c>
      <c r="D13" s="21" t="inlineStr">
        <is>
          <t>00:35</t>
        </is>
      </c>
      <c r="E13" s="21" t="inlineStr">
        <is>
          <t>Garantir a meta do Marco do Saneamento (90%+ de cobertura até 2033) e fazer o maior programa de saneamento da história de Belém.</t>
        </is>
      </c>
      <c r="F13" s="28" t="n">
        <v>0.25</v>
      </c>
      <c r="G13" s="25">
        <f>IF(F13&gt;=0.7,"Alta",IF(F13&gt;=0.4,"Média","Baixa"))</f>
        <v/>
      </c>
      <c r="H13" s="21" t="inlineStr">
        <is>
          <t>A União tem poucos instrumentos diretos e parte de uma base muito baixa. Sair de cerca de 20% para perto de 90% de esgoto até 2030 é improvável. Um programa federal grande para Belém, via crédito e apoio à concessão, é possível, mas não basta para 'garantir' a meta.</t>
        </is>
      </c>
      <c r="I13" s="21" t="inlineStr">
        <is>
          <t>Vários bilhões de reais só para universalizar o esgoto em Belém, provavelmente entre R$ 5 e 10 bilhões, numa ordem de grandeza não oficial. O país precisa de mais de R$ 500 bilhões até 2033, segundo estimativas setoriais. Não estimável com precisão.</t>
        </is>
      </c>
      <c r="J13" s="21" t="inlineStr">
        <is>
          <t>Pelo Marco Legal (Lei 14.026/2020), o investimento vem principalmente de concessões e PPPs. O papel da União fica no crédito (FGTS, BNDES) e em transferências discricionárias limitadas pelo arcabouço fiscal. Um 'maior programa da história' pode ser financiado sobretudo pelo setor privado, o que torna essa parte mais factível do que a meta de cobertura.</t>
        </is>
      </c>
      <c r="K13" s="21" t="inlineStr">
        <is>
          <t>Belém aparece entre os piores municípios do ranking Trata Brasil, com cerca de 19 a 25% de coleta de esgoto e menos de 30% de tratamento. A cidade tem áreas de baixada alagáveis e palafitas, onde a rede custa mais e demora mais para ser implantada.</t>
        </is>
      </c>
      <c r="L13" s="21" t="inlineStr">
        <is>
          <t>A titularidade do saneamento é municipal ou regional, com o estado do Pará e a Cosanpa ou concessionárias, não da União. A meta é de 2033, depois do mandato. As obras de esgoto em área densa e alagável exigem licenciamento, desapropriações e muitos anos. O histórico nacional é de avanço lento.</t>
        </is>
      </c>
      <c r="M13" s="21" t="inlineStr">
        <is>
          <t>Média</t>
        </is>
      </c>
      <c r="N13" s="29" t="n">
        <v>0.25</v>
      </c>
      <c r="O13" s="21" t="inlineStr">
        <is>
          <t>Mantive 25%. Os dados de cobertura vêm de imprensa regional e nacional e são coerentes entre si. A régua é a mesma que vale para promessas de competência subnacional com meta posterior a 2030. Retirei das fontes a matéria da InfoMoney sobre Santarém e a do Brasil61 sobre outras capitais, que não tratam de Belém. Ponto que o original deixou de lado: a concessão regional de água e esgoto do Pará pode ampliar muito o investimento privado e tornar mais plausível a parte do 'maior programa'. Não consegui confirmar os termos dessa concessão porque a cota de buscas da sessão acabou, por isso não mudei a nota.</t>
        </is>
      </c>
      <c r="P13" s="21" t="inlineStr">
        <is>
          <t>https://www.oliberal.com/belem/belem-esta-entre-os-20-piores-municipios-em-saneamento-no-pais-aponta-trata-brasil-1.1124810
https://www.band.com.br/bandnews-fm/noticias/capital-da-cop-30-e-uma-das-ultimas-colocadas-no-ranking-de-saneamento-e-piora-situacao-em-2025-202507151206
https://www.planalto.gov.br/ccivil_03/_ato2019-2022/2020/lei/l14026.htm
https://www.infomoney.com.br/brasil/paradisiaca-santarem-no-para-e-a-cidade-brasileira-com-o-pior-saneamento-basico/</t>
        </is>
      </c>
      <c r="R13" s="12" t="inlineStr">
        <is>
          <t>Norte</t>
        </is>
      </c>
    </row>
    <row r="14">
      <c r="A14" s="21" t="inlineStr">
        <is>
          <t>PF13</t>
        </is>
      </c>
      <c r="B14" s="21" t="inlineStr">
        <is>
          <t>Flávio</t>
        </is>
      </c>
      <c r="C14" s="21" t="inlineStr">
        <is>
          <t>Norte / Infraestrutura</t>
        </is>
      </c>
      <c r="D14" s="21" t="inlineStr">
        <is>
          <t>00:36</t>
        </is>
      </c>
      <c r="E14" s="21" t="inlineStr">
        <is>
          <t>Asfaltar a Transamazônica (BR-230), destravando o licenciamento ambiental.</t>
        </is>
      </c>
      <c r="F14" s="28" t="n">
        <v>0.2</v>
      </c>
      <c r="G14" s="25">
        <f>IF(F14&gt;=0.7,"Alta",IF(F14&gt;=0.4,"Média","Baixa"))</f>
        <v/>
      </c>
      <c r="H14" s="21" t="inlineStr">
        <is>
          <t>Concluir trechos até 2030 é viável. O lote Uruará–Rurópolis (124,95 km, cerca de R$ 1 bilhão) teve aviso de licitação assinado em 10/06/2026 e, segundo o Ministério dos Transportes, já tem licença ambiental. Asfaltar substancialmente toda a rodovia não é viável até 2030: o custo é alto, há trechos ainda sem licenciamento (Medicilândia–Uruará), a obra só anda na estiagem e o histórico é de décadas de entregas parciais. As fontes permitidas sustentam o resultado anterior.</t>
        </is>
      </c>
      <c r="I14" s="21" t="inlineStr">
        <is>
          <t>Vários bilhões de reais. O aviso de licitação de 124,95 km entre Uruará e Rurópolis (PA) estima cerca de R$ 1 bilhão, cerca de R$ 8 milhões por km. Extrapolando para as centenas de km ainda sem asfalto, o total pode passar de R$ 5 a 10 bilhões. A extrapolação é própria; não há estimativa oficial do total.</t>
        </is>
      </c>
      <c r="J14" s="21" t="inlineStr">
        <is>
          <t>O investimento do DNIT é limitado pelo arcabouço fiscal e disputado com a manutenção da malha federal. O baixo tráfego afasta a concessão privada. Obras na Amazônia custam mais por causa da logística e do clima. Em 2010, o orçamento previsto para o trecho paraense da BR-230 era de R$ 701,3 milhões, dos quais só R$ 156,6 milhões tinham sido aplicados, e a entrega estava prevista para 2012.</t>
        </is>
      </c>
      <c r="K14" s="21" t="inlineStr">
        <is>
          <t>A Transamazônica foi lançada em 1972 e ainda tem grandes trechos sem asfalto no Pará, que costumam ficar intransitáveis entre outubro e março. Em abril/2026, veículos ficaram três dias presos num atoleiro em trecho sem asfalto no Pará. O trecho Medicilândia–Uruará ainda precisa de licenciamento e licitação. Desde 2010, o DNIT cita as discussões socioambientais e a liberação das comunidades indígenas como condição prévia para pedir a liberação ao Ibama.</t>
        </is>
      </c>
      <c r="L14" s="21" t="inlineStr">
        <is>
          <t>A Lei Geral do Licenciamento Ambiental (Lei 15.190/2025) criou instrumentos que podem reduzir parte do obstáculo legal. Ainda assim, devem ocorrer judicialização (MPF/STF), consulta a povos indígenas (Convenção 169 da OIT) e pressão por compromissos climáticos. A janela anual de obra é de cerca de seis meses. O histórico é de cinco décadas de promessas e entregas parciais.</t>
        </is>
      </c>
      <c r="M14" s="21" t="inlineStr">
        <is>
          <t>Média</t>
        </is>
      </c>
      <c r="N14" s="29" t="n">
        <v>0.2</v>
      </c>
      <c r="O14" s="21" t="inlineStr">
        <is>
          <t>REAVALIADO SEM FONTES ENVIESADAS. A viabilidade (20%) e a confiança se mantêm. Ajustes: (1) a licença ambiental do lote não aparece na Agência Pará, citada pelo outro agente, mas foi confirmada no site do Ministério dos Transportes, que foi incluído nas fontes; (2) foi retirada a menção a 'pedreiras que exigem dinamite', que não aparece em nenhuma fonte acessível (o NSC Total retornou 403); (3) o valor de 2010 foi precisado: R$ 701,3 milhões para o trecho paraense, com R$ 156,6 milhões aplicados. Mantida a retirada do dado Humaitá–Lábrea, que vinha da Wikipédia. Revisor: Abri a Agência Pará (124,95 km, cerca de R$ 1 bilhão, 10/06/2026, Medicilândia–Uruará ainda pendente; não fala da licença do lote), o DOL de 2010 (lançamento em 1972, chuvas de outubro a março, R$ 701,3 milhões, fala do DNIT sobre indígenas e Ibama) e o Click Petróleo e Gás (atoleiro de três dias em abril/2026; não fala de dinamite). Uma busca com os domínios bloqueados encontrou o Ministério dos Transportes confirmando que o lote já tem licença ambiental. Não há resíduo de fonte excluída.</t>
        </is>
      </c>
      <c r="P14" s="21" t="inlineStr">
        <is>
          <t>https://www.agenciapara.com.br/noticia/77949/governo-do-para-e-uniao-assinam-licitacao-para-asfaltar-125-km-da-transamazonica
https://www.gov.br/transportes/pt-br/assuntos/noticias/2026/06/ministro-dos-transportes-assina-aviso-de-edital-para-a-br-230-pa-e-a-transamazonica-avanca
https://dol.com.br/noticias/para/noticia-125346-governo-asfalta-rodovia-no-entorno-de-belo-monte.html
https://clickpetroleoegas.com.br/atoleiro-transamazonica-3-dias-caminhoes-carros-motos-trator-cbt-guincho-video-viral-btl96/</t>
        </is>
      </c>
      <c r="R14" s="12" t="inlineStr">
        <is>
          <t>Norte</t>
        </is>
      </c>
    </row>
    <row r="15">
      <c r="A15" s="21" t="inlineStr">
        <is>
          <t>PF14</t>
        </is>
      </c>
      <c r="B15" s="21" t="inlineStr">
        <is>
          <t>Flávio</t>
        </is>
      </c>
      <c r="C15" s="21" t="inlineStr">
        <is>
          <t>Norte / Indústria</t>
        </is>
      </c>
      <c r="D15" s="21" t="inlineStr">
        <is>
          <t>00:37</t>
        </is>
      </c>
      <c r="E15" s="21" t="inlineStr">
        <is>
          <t>Manter e ampliar a Zona Franca de Manaus, atrair data centers para lá e usar o gás do Amazonas para produzir fertilizantes.</t>
        </is>
      </c>
      <c r="F15" s="28" t="n">
        <v>0.35</v>
      </c>
      <c r="G15" s="25">
        <f>IF(F15&gt;=0.7,"Alta",IF(F15&gt;=0.4,"Média","Baixa"))</f>
        <v/>
      </c>
      <c r="H15" s="21" t="inlineStr">
        <is>
          <t>A promessa tem três frentes. Manter a ZFM é praticamente garantido: ela está prorrogada até 2073 pela Constituição e foi preservada na reforma tributária. Essa parte vem das rodadas anteriores. As frentes novas são improváveis até 2030. Ampliar a ZFM pede lei. Atrair data centers para Manaus encontra um Redata que beneficia o Norte de forma genérica e trata a ZFM apenas como fornecedora protegida, além das desvantagens de energia, clima e conectividade. Fertilizantes com o gás local não têm nenhum projeto nas fontes conferidas, e o plano da Petrobras até 2030 não os inclui. Abri três das fontes do outro agente (Agência Senado, startups.com.br e culturaamazonica) e elas dizem o que ele alega. Também acrescentei o número da lei e a data de sanção. Considero 'atrair data centers' a frente mais elástica, porque um anúncio isolado poderia contar como cumprimento parcial. Isso não basta para subir a nota de forma relevante. Mantenho 35%, classificação Baixa.</t>
        </is>
      </c>
      <c r="I15" s="21" t="inlineStr">
        <is>
          <t>Manter a ZFM não gera gasto novo, porque a renúncia fiscal já existe. O Redata (Lei 15.504/2026) tem renúncia federal estimada em cerca de R$ 5,2 bi em 2026 e R$ 1 bi em cada um dos dois anos seguintes, para o país inteiro, não só para Manaus. Levar data centers a Manaus pediria gasto adicional com energia firme de baixa emissão e com conectividade, sem estimativa oficial. Uma planta de amônia e ureia custaria vários bilhões de reais, mas isso é ordem de grandeza sem fonte de 2025-2026 específica para o Amazonas. O investimento caberia ao setor privado ou à Petrobras. O plano da Petrobras/Transpetro de mais de R$ 2,8 bi no Amazonas até 2030 cobre poços em Urucu (cerca de R$ 2,5 bi) e embarcações (R$ 628 mi), e não inclui fertilizantes.</t>
        </is>
      </c>
      <c r="J15" s="21" t="inlineStr">
        <is>
          <t>Confirmei na Agência Senado que o PL 278/2026 foi aprovado em 01/09/2026. Para Norte, Nordeste e Centro-Oeste, ele reduz a cota de processamento para o mercado interno de 10% para 8% e o investimento obrigatório de 2% para 1,6%, e manda que no mínimo 40% dos investimentos em economia digital vão para essas regiões. A sanção ocorreu em 15/09/2026 como Lei 15.504/2026, segundo o startups.com.br. Os produtos de TIC também fabricados na ZFM ficam fora da suspensão do IPI: a Zona Franca é protegida como fornecedora, mas não vira sede preferencial dos data centers. Também confirmei que o plano da Petrobras no Amazonas (anunciado em Manaus, com Lula presente) prioriza produção em Urucu, logística e GNL com a Amazônica Energy a partir de 2028, e não menciona fertilizantes. O gás local já está comprometido com térmicas (Azulão I e II) e com GNL.</t>
        </is>
      </c>
      <c r="K15" s="21" t="inlineStr">
        <is>
          <t>Manaus tem logística fluvial, conectividade limitada e geração elétrica apoiada em termelétricas a gás. Isso pesa contra a exigência do Redata de energia solar, eólica ou de baixa emissão e de eficiência hídrica de até 0,05 L/kWh. O clima quente e úmido aumenta o custo de refrigeração. Uma planta de fertilizantes no interior do Amazonas enfrentaria licenciamento ambiental e o custo de escoar a produção até o Centro-Oeste. A bancada amazonense, com Braga e Aziz, tem força política para defender a ZFM, como mostrou ao alterar o texto do Redata. A possível sinergia com o potássio de Autazes não pôde ser verificada nesta rodada.</t>
        </is>
      </c>
      <c r="L15" s="21" t="inlineStr">
        <is>
          <t>1) Data centers e fertilizantes dependem de decisões privadas ou da Petrobras. 2) Não há projeto confirmado de data center em Manaus nas fontes de 2025-2026 conferidas. 3) Uma planta de fertilizantes leva de 4 a 6 anos entre a decisão de investimento e a operação, então operar antes de 2030 é improvável. 4) O gás de Urucu e de Azulão já está contratado para térmicas e GNL. 5) Ampliar a ZFM de forma relevante exige lei e sofre resistência fiscal e de outros polos industriais. 6) As duas buscas desta revisão foram recusadas porque o limite compartilhado de WebSearch da sessão se esgotou. A revisão se apoiou só em WebFetch das fontes do outro agente.</t>
        </is>
      </c>
      <c r="M15" s="21" t="inlineStr">
        <is>
          <t>Média</t>
        </is>
      </c>
      <c r="N15" s="29" t="n">
        <v>0.35</v>
      </c>
      <c r="O15" s="21" t="inlineStr">
        <is>
          <t>RECHECADO (3ª rodada). Mantive os 35% sem ajuste. Nesta revisão as duas WebSearch foram recusadas porque o limite compartilhado de buscas da sessão se esgotou, então não foi possível fazer uma checagem independente nova. Abri por WebFetch três fontes do outro agente e as alegações principais foram confirmadas: o PL 278/2026, os números da renúncia, as regras para o Norte, a exceção do IPI para a ZFM, a sanção como Lei 15.504/2026 em 15/09/2026 e o plano de R$ 2,8 bi da Petrobras no Amazonas sem fertilizantes. Duas fontes não foram reabertas: a Agência Petrobras sobre o GNL e o Money Times sobre Azulão I. Tirei da lista final o reformatributaria.com e a matéria da eixos de 2022, que é anterior ao período pedido. O culturaamazonica.com.br é um portal regional de menor porte e as suas informações deveriam ser confirmadas em veículo de grande porte quando houver busca disponível.</t>
        </is>
      </c>
      <c r="P15" s="21" t="inlineStr">
        <is>
          <t>https://www12.senado.leg.br/noticias/materias/2026/09/01/incentivo-para-instalacao-de-data-centers-no-brasil-e-aprovado-pelo-senado
https://startups.com.br/negocios/lula-sanciona-redata-e-cria-regime-fiscal-para-data-centers-no-brasil/
https://www.culturaamazonica.com.br/2026/05/30/petrobras-investira-mais-de-r-28-bilhoes-no-amazonas-para-ampliar-producao-de-gas-natural-em-urucu-e-frota-de-embarcacoes/
https://agencia.petrobras.com.br/w/petrobras-e-amaz%C3%B4nica-energy-firmam-primeiro-contrato-para-comercializa%C3%A7%C3%A3o-de-gnl-em-pequena-escala-a-partir-do-polo-urucu (não reaberta nesta revisão)</t>
        </is>
      </c>
      <c r="R15" s="12" t="inlineStr">
        <is>
          <t>Norte</t>
        </is>
      </c>
    </row>
    <row r="16">
      <c r="A16" s="21" t="inlineStr">
        <is>
          <t>PF15</t>
        </is>
      </c>
      <c r="B16" s="21" t="inlineStr">
        <is>
          <t>Flávio</t>
        </is>
      </c>
      <c r="C16" s="21" t="inlineStr">
        <is>
          <t>Social</t>
        </is>
      </c>
      <c r="D16" s="21" t="inlineStr">
        <is>
          <t>00:45</t>
        </is>
      </c>
      <c r="E16" s="21" t="inlineStr">
        <is>
          <t>Reajustar o Bolsa Família e permitir que quem consiga emprego formal ou abra empresa continue recebendo por um período (regra de transição), com retorno imediato se perder a renda.</t>
        </is>
      </c>
      <c r="F16" s="30" t="n">
        <v>0.65</v>
      </c>
      <c r="G16" s="23">
        <f>IF(F16&gt;=0.7,"Alta",IF(F16&gt;=0.4,"Média","Baixa"))</f>
        <v/>
      </c>
      <c r="H16" s="21" t="inlineStr">
        <is>
          <t>Juridicamente é simples, e a regra de transição já existe. O ponto central é o reajuste, que depende de espaço fiscal num orçamento de 2027 a 2030 muito comprimido. Por isso a promessa fica no topo da faixa Média.</t>
        </is>
      </c>
      <c r="I16" s="21" t="inlineStr">
        <is>
          <t>O programa custa cerca de R$ 158,6 bilhões por ano no PLOA 2026. Cada 10% de reajuste custa cerca de R$ 15 a 16 bilhões por ano. Voltar a ampliar a regra de proteção custaria alguns bilhões a mais (estimativa própria).</t>
        </is>
      </c>
      <c r="J16" s="21" t="inlineStr">
        <is>
          <t>O piso de R$ 600 não é corrigido desde 2023. Como o Bolsa Família é despesa obrigatória, um reajuste comprime as despesas discricionárias, que segundo projeções da IFI e do Tesouro já ficam muito apertadas a partir de 2027 dentro do limite do arcabouço. Um reajuste pequeno é factível, mas um reajuste real relevante exige cortes compensatórios.</t>
        </is>
      </c>
      <c r="K16" s="21" t="inlineStr">
        <is>
          <t>Promessa nacional, com peso maior no Nordeste e no Norte, onde está a maioria das cerca de 20 milhões de famílias beneficiárias.</t>
        </is>
      </c>
      <c r="L16" s="21" t="inlineStr">
        <is>
          <t>O mecanismo prometido já existe. A Regra de Proteção (Lei 14.601/2023) foi endurecida por portaria do MDS em maio de 2025: limite de R$ 706 per capita, até 12 meses com 50% do benefício (antes eram até 24 meses com limite de meio salário mínimo) e só 2 meses para renda estável, como aposentadoria ou BPC. O Retorno Garantido já permite a volta prioritária ao programa. Ajustes se fazem por portaria, decreto ou lei ordinária, com dotação na LOA. A principal restrição é fiscal.</t>
        </is>
      </c>
      <c r="M16" s="21" t="inlineStr">
        <is>
          <t>Média</t>
        </is>
      </c>
      <c r="N16" s="29" t="n">
        <v>0.7</v>
      </c>
      <c r="O16" s="21" t="inlineStr">
        <is>
          <t>Reduzi 5 pontos (70 para 65, de Alta para Média). Confirmei na Folha PE que a regra de proteção foi endurecida em maio de 2025, passando de 24 para 12 meses e de meio salário mínimo para R$ 706. Ou seja, a parte de transição é praticamente a regra atual, e o peso da promessa está no reajuste. Pela mesma régua aplicada a outras promessas de aumento de despesa obrigatória, o espaço fiscal de 2027 em diante, com risco de compressão das discricionárias apontado pela IFI, torna incerto um reajuste real relevante. Retirei a matéria da Band, de caráter explicativo. O PDF do MDS citado pelo original pedia autenticação e não pôde ser conferido. A cota de buscas acabou, então não pude consultar o PLOA 2027.</t>
        </is>
      </c>
      <c r="P16" s="21" t="inlineStr">
        <is>
          <t>https://www.folhape.com.br/economia/governo-altera-regra-de-transicao-do-bolsa-familia-entenda/411481/
https://www.gov.br/mds/pt-br/acoes-e-programas/bolsa-familia/informes/informe-bolsa-familia-115
https://www.planalto.gov.br/ccivil_03/_ato2023-2026/2023/lei/l14601.htm
https://www12.senado.leg.br/ifi</t>
        </is>
      </c>
      <c r="R16" s="12" t="inlineStr">
        <is>
          <t>Social</t>
        </is>
      </c>
    </row>
    <row r="17">
      <c r="A17" s="21" t="inlineStr">
        <is>
          <t>PF16</t>
        </is>
      </c>
      <c r="B17" s="21" t="inlineStr">
        <is>
          <t>Flávio</t>
        </is>
      </c>
      <c r="C17" s="21" t="inlineStr">
        <is>
          <t>Nordeste / Infraestrutura</t>
        </is>
      </c>
      <c r="D17" s="21" t="inlineStr">
        <is>
          <t>00:46</t>
        </is>
      </c>
      <c r="E17" s="21" t="inlineStr">
        <is>
          <t>Construir uma ferrovia ligando todas as capitais do Nordeste, de Salvador a São Luís, com trem de passageiros para turismo.</t>
        </is>
      </c>
      <c r="F17" s="28" t="n">
        <v>0.04</v>
      </c>
      <c r="G17" s="25">
        <f>IF(F17&gt;=0.7,"Alta",IF(F17&gt;=0.4,"Média","Baixa"))</f>
        <v/>
      </c>
      <c r="H17" s="21" t="inlineStr">
        <is>
          <t>Não é exequível projetar, licenciar e construir em 4 anos uma ferrovia ligando todas as capitais. No máximo é possível concluir estudos ou iniciar um trecho, o que não configura cumprimento substancial.</t>
        </is>
      </c>
      <c r="I17" s="21" t="inlineStr">
        <is>
          <t>Não há estudo oficial nem EVTEA. Por analogia com a Transnordestina, cujo orçamento subiu de cerca de R$ 4,5 bi para cerca de R$ 15 bi em uma linha de carga de aproximadamente 1.200 km, uma malha de passageiros de 2.500 a 3.000 km entre Salvador e São Luís custaria de R$ 40 bi a R$ 100 bi ou mais (estimativa própria por analogia).</t>
        </is>
      </c>
      <c r="J17" s="21" t="inlineStr">
        <is>
          <t>A DBGG está em 82,9% do PIB (R$ 11,1 tri). O déficit primário de 12 meses é de R$ 82,1 bi e o déficit nominal, de 9,48% do PIB (BCB, agosto de 2026). O plano de governo fala apenas em 'concessões, parcerias e financiamento', sem fonte definida. Um trem turístico de passageiros dificilmente se paga sem subsídio permanente.</t>
        </is>
      </c>
      <c r="K17" s="21" t="inlineStr">
        <is>
          <t>O Nordeste não tem hoje nenhuma ligação ferroviária de passageiros entre capitais. A Transnordestina, que é de carga, tem 832 km executados depois de 20 anos de obra. O litoral é urbanizado e ambientalmente sensível, o que encarece desapropriação e licenciamento.</t>
        </is>
      </c>
      <c r="L17" s="21" t="inlineStr">
        <is>
          <t>Seria preciso partir do zero: EVTEA, projeto, licenciamento ambiental, desapropriações e controle do TCU, além de definir o modelo de concessão ou PPP e uma fonte plurianual de recursos. O prazo físico de obra passa muito de 4 anos. Não exige PEC.</t>
        </is>
      </c>
      <c r="M17" s="21" t="inlineStr">
        <is>
          <t>Alta</t>
        </is>
      </c>
      <c r="N17" s="29" t="n">
        <v>0.04</v>
      </c>
      <c r="O17" s="21" t="inlineStr">
        <is>
          <t>Mantido em 4%. Conferi que o plano de governo (SBT News) não detalha extensão, custo nem modelo, apenas 'concessões, parcerias e financiamento', o que reforça a nota baixa. As fontes originais são jornalísticas e válidas. Minha cota de buscas na web se esgotou durante a revisão, por isso conferi as fontes por acesso direto às páginas.</t>
        </is>
      </c>
      <c r="P17" s="21" t="inlineStr">
        <is>
          <t>https://sbtnews.sbt.com.br/colunas/coluna-da-amanda/plano-de-flavio-preve-trem-do-nordeste-e-acoes-para-mulheres
https://www.dgabc.com.br/Noticia/4347238/no-ceara-flavio-bolsonaro-diz-querer-ser-reconhecido-como-o-novo-visconde-de-maua
https://diariodonordeste.verdesmares.com.br/negocios/transnordestina-completa-20-anos-hoje-com-custo-3-vezes-maior-veja-curiosidades-da-ferrovia-1.3768181
https://movimentoeconomico.com.br/geral/infraestrutura/ferrovia/2026/09/24/com-832-km-executados-transnordestina-recebe-r-772-mi-de-nova-parcela-do-fdne/</t>
        </is>
      </c>
      <c r="R17" s="12" t="inlineStr">
        <is>
          <t>Nordeste</t>
        </is>
      </c>
    </row>
    <row r="18">
      <c r="A18" s="21" t="inlineStr">
        <is>
          <t>PF17</t>
        </is>
      </c>
      <c r="B18" s="21" t="inlineStr">
        <is>
          <t>Flávio</t>
        </is>
      </c>
      <c r="C18" s="21" t="inlineStr">
        <is>
          <t>Economia / Dívida</t>
        </is>
      </c>
      <c r="D18" s="21" t="inlineStr">
        <is>
          <t>00:59</t>
        </is>
      </c>
      <c r="E18" s="21" t="inlineStr">
        <is>
          <t>Usar a queda dos juros futuros para pagar parte da dívida pública e fazer a Selic começar a cair.</t>
        </is>
      </c>
      <c r="F18" s="28" t="n">
        <v>0.3</v>
      </c>
      <c r="G18" s="25">
        <f>IF(F18&gt;=0.7,"Alta",IF(F18&gt;=0.4,"Média","Baixa"))</f>
        <v/>
      </c>
      <c r="H18" s="21" t="inlineStr">
        <is>
          <t>A queda da Selic tende a ocorrer independentemente da promessa, e recompras pontuais pelo Tesouro são factíveis. Mas pagar parte relevante da dívida com déficit nominal perto de 9,5% do PIB é improvável, e a Selic não depende do Executivo.</t>
        </is>
      </c>
      <c r="I18" s="21" t="inlineStr">
        <is>
          <t>não estimável (o mecanismo não foi especificado)</t>
        </is>
      </c>
      <c r="J18" s="21" t="inlineStr">
        <is>
          <t>A DBGG está em R$ 11,1 tri (82,9% do PIB). O déficit primário de 12 meses é de R$ 82,1 bi e o nominal, de R$ 1,26 tri (9,48% do PIB) (BCB, agosto de 2026), ou seja, não há superávit para amortizar dívida líquida. A Selic já está em ciclo de corte (cerca de 14% em 2026) e o Focus projeta 12% no fim de 2027. O Tesouro já faz leilões de recompra de títulos quando os juros futuros caem e tem colchão de liquidez para isso, mas essa é uma operação de gestão da dívida que não reduz o estoque de forma relevante.</t>
        </is>
      </c>
      <c r="K18" s="21" t="inlineStr">
        <is>
          <t>nacional</t>
        </is>
      </c>
      <c r="L18" s="21" t="inlineStr">
        <is>
          <t>O BCB é autônomo (LC 179/2021) e o presidente não decide a Selic. Abater dívida de forma relevante exige superávit primário ou venda de ativos. Recompras dependem das condições de mercado, e usar a Conta Única ou as reservas tem limites legais e efeito monetário. A causalidade prometida (pagar dívida para a Selic cair) depende da credibilidade fiscal.</t>
        </is>
      </c>
      <c r="M18" s="21" t="inlineStr">
        <is>
          <t>Média</t>
        </is>
      </c>
      <c r="N18" s="29" t="n">
        <v>0.25</v>
      </c>
      <c r="O18" s="21" t="inlineStr">
        <is>
          <t>Ajustado de 25% para 30%. A análise original ignorou que o Tesouro já faz recompras de títulos quando os juros futuros caem, o que torna factível uma versão literal mínima da promessa, e que a Selic já está caindo. Confirmei no BCB/Poder360 o déficit primário de 12 meses (R$ 82,1 bi) e o nominal (9,48% do PIB), que mantêm a nota na faixa Baixa.</t>
        </is>
      </c>
      <c r="P18" s="21" t="inlineStr">
        <is>
          <t>https://www.poder360.com.br/poder-economia/divida-bruta-atinge-829-do-pib-em-agosto-diz-banco-central/
https://www.dgabc.com.br/Noticia/4337550/focus-selic-no-fim-de-2026-segue-em-14-00-fim-de-2027-segue-em-12-00
https://www2.senado.leg.br/jspui/bitstream/id/935942/5/RAF113_JUN2026_4_Cenarios_divida.pdf</t>
        </is>
      </c>
      <c r="R18" s="12" t="inlineStr">
        <is>
          <t>Economia</t>
        </is>
      </c>
    </row>
    <row r="19">
      <c r="A19" s="21" t="inlineStr">
        <is>
          <t>PF18</t>
        </is>
      </c>
      <c r="B19" s="21" t="inlineStr">
        <is>
          <t>Flávio</t>
        </is>
      </c>
      <c r="C19" s="21" t="inlineStr">
        <is>
          <t>Economia / Endividamento</t>
        </is>
      </c>
      <c r="D19" s="21" t="inlineStr">
        <is>
          <t>01:00</t>
        </is>
      </c>
      <c r="E19" s="21" t="inlineStr">
        <is>
          <t>Caixa comprar dívidas das famílias e empresas nos bancos e refinanciar, com 6 meses de carência para pessoa física e 1 ano para pessoa jurídica.</t>
        </is>
      </c>
      <c r="F19" s="30" t="n">
        <v>0.45</v>
      </c>
      <c r="G19" s="23">
        <f>IF(F19&gt;=0.7,"Alta",IF(F19&gt;=0.4,"Média","Baixa"))</f>
        <v/>
      </c>
      <c r="H19" s="21" t="inlineStr">
        <is>
          <t>Uma versão parcial, nos moldes do Desenrola e com a Caixa à frente, é factível. A compra ampla de dívidas de famílias e empresas com carências longas esbarra em capital, custo fiscal e regras prudenciais.</t>
        </is>
      </c>
      <c r="I19" s="21" t="inlineStr">
        <is>
          <t>Depende da escala. O Desenrola 2.0 renegociou cerca de R$ 22 bi em 3,6 milhões de operações até julho de 2026. Comprar carteiras de dezenas de bilhões de reais exigiria capital da Caixa e provável aporte do Tesouro ou de fundo garantidor, da ordem de alguns bilhões de reais.</t>
        </is>
      </c>
      <c r="J19" s="21" t="inlineStr">
        <is>
          <t>Com Selic entre 12% e 14%, carências de 6 a 12 meses têm alto custo de carregamento. O subsídio ou a garantia entra no primário, que está em déficit de R$ 82 bi em 12 meses. Há precedente operacional nos Desenrola 1 e 2.</t>
        </is>
      </c>
      <c r="K19" s="21" t="inlineStr">
        <is>
          <t>nacional, com maior impacto em famílias de baixa renda e pequenas empresas endividadas, mais concentradas no Norte e no Nordeste</t>
        </is>
      </c>
      <c r="L19" s="21" t="inlineStr">
        <is>
          <t>Exige MP ou lei e garantias (FGO ou fundo similar). Há limites prudenciais do CMN e do BCB e de Basileia para a Caixa, risco de seleção adversa (bancos vendendo a pior carteira) e escrutínio do TCU sobre subsídio em banco público.</t>
        </is>
      </c>
      <c r="M19" s="21" t="inlineStr">
        <is>
          <t>Média</t>
        </is>
      </c>
      <c r="N19" s="29" t="n">
        <v>0.45</v>
      </c>
      <c r="O19" s="21" t="inlineStr">
        <is>
          <t>Mantido em 45%. O raciocínio e as fontes, que são jornalísticas, estão corretos. Acrescentei o dado do déficit primário de 12 meses para dimensionar o espaço fiscal para garantias. A régua é coerente com PF19 e PF20, já que uma versão parcial plausível corresponde à faixa Média.</t>
        </is>
      </c>
      <c r="P19" s="21" t="inlineStr">
        <is>
          <t>https://www.opovo.com.br/noticias/economia/2026/07/28/com-rs-22-bi-renegociados-desenrola-2-0-e-prorrogado-ate-agosto.html
https://www.poder360.com.br/poder-economia/divida-bruta-atinge-829-do-pib-em-agosto-diz-banco-central/</t>
        </is>
      </c>
      <c r="R19" s="12" t="inlineStr">
        <is>
          <t>Economia</t>
        </is>
      </c>
    </row>
    <row r="20">
      <c r="A20" s="21" t="inlineStr">
        <is>
          <t>PF19</t>
        </is>
      </c>
      <c r="B20" s="21" t="inlineStr">
        <is>
          <t>Flávio</t>
        </is>
      </c>
      <c r="C20" s="21" t="inlineStr">
        <is>
          <t>Economia / Empreendedorismo</t>
        </is>
      </c>
      <c r="D20" s="21" t="inlineStr">
        <is>
          <t>01:14</t>
        </is>
      </c>
      <c r="E20" s="21" t="inlineStr">
        <is>
          <t>Transformar a Caixa no 'Banco da Prosperidade', com crédito barato e passo a passo digital para empreendedores de favelas e periferias.</t>
        </is>
      </c>
      <c r="F20" s="30" t="n">
        <v>0.55</v>
      </c>
      <c r="G20" s="23">
        <f>IF(F20&gt;=0.7,"Alta",IF(F20&gt;=0.4,"Média","Baixa"))</f>
        <v/>
      </c>
      <c r="H20" s="21" t="inlineStr">
        <is>
          <t>A parte institucional e digital é muito factível. O núcleo da promessa, 'crédito barato' em escala, depende de subsídio em contexto fiscal apertado, o que limita a viabilidade à faixa Média.</t>
        </is>
      </c>
      <c r="I20" s="21" t="inlineStr">
        <is>
          <t>Rebranding e plataforma digital custam pouco, centenas de milhões de reais. O crédito barato depende de equalização ou garantia, da ordem de bilhões por ano. Referência: o convênio Caixa/MIDR para microcrédito previa de R$ 300 mi a R$ 2 bi por ano.</t>
        </is>
      </c>
      <c r="J20" s="21" t="inlineStr">
        <is>
          <t>Mudar a marca, priorizar microcrédito e criar uma jornada digital depende só da gestão, por decisão do controlador. Já existem o Acredita (Lei 14.995/2024), linhas para o CadÚnico e o FGO. Crédito de fato barato com Selic entre 12% e 14% exige subsídio com custo primário, em contexto de déficit.</t>
        </is>
      </c>
      <c r="K20" s="21" t="inlineStr">
        <is>
          <t>Favelas e periferias têm alta informalidade, pouco histórico de crédito e inadimplência historicamente alta no microcrédito urbano. O alcance depende de agentes de crédito e de inclusão digital.</t>
        </is>
      </c>
      <c r="L20" s="21" t="inlineStr">
        <is>
          <t>Não exige lei. Os limites são o capital da Caixa, as regras prudenciais e o orçamento para garantias e equalização. Programas semelhantes já tiveram execução abaixo da meta.</t>
        </is>
      </c>
      <c r="M20" s="21" t="inlineStr">
        <is>
          <t>Média</t>
        </is>
      </c>
      <c r="N20" s="29" t="n">
        <v>0.6</v>
      </c>
      <c r="O20" s="21" t="inlineStr">
        <is>
          <t>Ajustado de 60% para 55%. A análise original pesou mais o rebranding, que é a parte fácil, do que o compromisso de 'crédito barato', que tem custo primário com Selic de dois dígitos e déficit primário de R$ 82 bi. Retirei a fonte viva.com.br, um portal de serviços de baixa confiabilidade jornalística.</t>
        </is>
      </c>
      <c r="P20" s="21" t="inlineStr">
        <is>
          <t>https://www.oliberal.com/economia/acredita-no-primeiro-passo-programa-do-governo-federal-para-empreendedores-e-lancado-no-para-1.851968
https://mercadoeconsumo.com.br/19/10/2024/economia/presidente-da-caixa-diz-que-banco-sera-reconhecido-como-um-dos-que-mais-fara-microcredito/
https://www.poder360.com.br/poder-economia/divida-bruta-atinge-829-do-pib-em-agosto-diz-banco-central/
https://viva.com.br/cidadania-e-direitos/caixa-lanca-microcredito-para-inscritos-no-cadunico-veja-quem-tem-direito.html</t>
        </is>
      </c>
      <c r="R20" s="12" t="inlineStr">
        <is>
          <t>Economia</t>
        </is>
      </c>
    </row>
    <row r="21">
      <c r="A21" s="21" t="inlineStr">
        <is>
          <t>PF20</t>
        </is>
      </c>
      <c r="B21" s="21" t="inlineStr">
        <is>
          <t>Flávio</t>
        </is>
      </c>
      <c r="C21" s="21" t="inlineStr">
        <is>
          <t>Saúde</t>
        </is>
      </c>
      <c r="D21" s="21" t="inlineStr">
        <is>
          <t>01:09</t>
        </is>
      </c>
      <c r="E21" s="21" t="inlineStr">
        <is>
          <t>Investir na ampliação do Inca, refinanciar dívidas das Santas Casas com a Caixa e atualizar a tabela SUS (modelo Tabela SUS Paulista).</t>
        </is>
      </c>
      <c r="F21" s="30" t="n">
        <v>0.4</v>
      </c>
      <c r="G21" s="23">
        <f>IF(F21&gt;=0.7,"Alta",IF(F21&gt;=0.4,"Média","Baixa"))</f>
        <v/>
      </c>
      <c r="H21" s="21" t="inlineStr">
        <is>
          <t>Dois dos três itens já têm instrumentos em andamento: a PPP do Inca e as linhas da Caixa para as Santas Casas. Uma atualização parcial da tabela pela lei de reajuste anual é provável. O item central e caro, uma tabela nacional nos moldes paulistas, é improvável em escala plena.</t>
        </is>
      </c>
      <c r="I21" s="21" t="inlineStr">
        <is>
          <t>Campus do Inca: cerca de R$ 1,1 bi via PPP com o BNDES, já em obras. Santas Casas: passivo de cerca de R$ 21 bi, e já existem cerca de R$ 8 bi em linhas do governo e da Caixa (13,66% ao ano, até 180 meses), com custo fiscal baixo. Tabela SUS no modelo paulista: SP repassou R$ 12 bi acumulados desde 2023, cerca de R$ 4 bi a R$ 6 bi por ano, pagando até cinco vezes a tabela nacional. O Ministério da Saúde estima mais de R$ 12 bi por ano para a equiparação discutida no STJ. Em escala nacional, seriam provavelmente R$ 15 bi a R$ 30 bi por ano (estimativa própria).</t>
        </is>
      </c>
      <c r="J21" s="21" t="inlineStr">
        <is>
          <t>O piso da saúde e o arcabouço fiscal deixam pouco espaço para uma despesa nova permanente de mais de R$ 15 bi por ano. Uma lei de 2025 já prevê reajustes anuais da tabela, mas próximos do IPCA. Inca e crédito às filantrópicas já estão em curso, com custo limitado.</t>
        </is>
      </c>
      <c r="K21" s="21" t="inlineStr">
        <is>
          <t>As Santas Casas fazem até 90% do atendimento SUS no interior, sobretudo no Sul e no Sudeste. O modelo paulista é bancado por um estado de alta arrecadação, que atende 874 unidades. No Norte e no Nordeste, a replicação dependeria quase só da União.</t>
        </is>
      </c>
      <c r="L21" s="21" t="inlineStr">
        <is>
          <t>O reajuste da tabela é ato do Ministério da Saúde, mas exige orçamento e pactuação tripartite. O Tema 1305 do STJ aguarda julgamento. O refinanciamento esbarra no risco de crédito de hospitais endividados. A obra do Inca ficou parada por uma década e depende do cronograma da PPP.</t>
        </is>
      </c>
      <c r="M21" s="21" t="inlineStr">
        <is>
          <t>Média</t>
        </is>
      </c>
      <c r="N21" s="29" t="n">
        <v>0.35</v>
      </c>
      <c r="O21" s="21" t="inlineStr">
        <is>
          <t>Ajustado de 35% para 40%, passando de Baixa para Média. A análise original ignorou que já existem cerca de R$ 8 bi em linhas da Caixa para as Santas Casas e uma lei de 2025 de reajuste anual da tabela, o que torna dois itens quase certos e o terceiro parcialmente possível. Corrigi também o valor paulista: R$ 12 bi é o total acumulado desde 2023, e não há dado anual confirmado de R$ 6 bi. Com isso a régua fica coerente com PF18, em que uma versão parcial plausível também ficou na faixa Média.</t>
        </is>
      </c>
      <c r="P21" s="21" t="inlineStr">
        <is>
          <t>https://futurodasaude.com.br/santas-casas-reajuste-tabela-sus-stj/
https://www.correiodamanha.com.br/nacional/sao-paulo/estado-de-sao-paulo/2026/09/323554-tabela-sus-paulista-chega-a-rs-12-bilhoes-em-repasses-para-hospitais-do-estado.html
https://www.al.sp.gov.br/noticia/?id=500305
https://timesbrasil.com.br/empresas-e-negocios/ciencias-e-saude/ate-90-do-atendimento-do-sus-no-interior-e-feito-por-santas-casas-diz-especialista/</t>
        </is>
      </c>
      <c r="R21" s="12" t="inlineStr">
        <is>
          <t>Saúde</t>
        </is>
      </c>
    </row>
    <row r="22">
      <c r="A22" s="21" t="inlineStr">
        <is>
          <t>PF21</t>
        </is>
      </c>
      <c r="B22" s="21" t="inlineStr">
        <is>
          <t>Flávio</t>
        </is>
      </c>
      <c r="C22" s="21" t="inlineStr">
        <is>
          <t>Educação</t>
        </is>
      </c>
      <c r="D22" s="21" t="inlineStr">
        <is>
          <t>01:22</t>
        </is>
      </c>
      <c r="E22" s="21" t="inlineStr">
        <is>
          <t>Manter o Pé-de-Meia e criar auxílio-creche para pagar vaga na rede privada onde não houver vaga pública.</t>
        </is>
      </c>
      <c r="F22" s="30" t="n">
        <v>0.5</v>
      </c>
      <c r="G22" s="23">
        <f>IF(F22&gt;=0.7,"Alta",IF(F22&gt;=0.4,"Média","Baixa"))</f>
        <v/>
      </c>
      <c r="H22" s="21" t="inlineStr">
        <is>
          <t>A primeira parte, manter o Pé-de-Meia, tem viabilidade alta: depende só de dotação anual e tem apoio amplo. A segunda, o auxílio-creche para pagar vaga na rede privada, pode ser criada por lei ordinária, inclusive em escala menor. Mas não tem fonte de custeio definida e esbarra na pouca oferta privada justamente nas áreas mais carentes. O resultado se mantém.</t>
        </is>
      </c>
      <c r="I22" s="21" t="inlineStr">
        <is>
          <t>Pé-de-Meia: cerca de R$ 13 bi, valor em discussão no TCU em fev/2025 (CNN Brasil). A CNN não o apresenta como custo anual fixo. Auxílio-creche: não há estimativa oficial. A faixa de R$ 5 a 10 bi/ano para 0,5 a 1 milhão de vouchers é só uma ordem de grandeza do revisor, sem fonte.</t>
        </is>
      </c>
      <c r="J22" s="21" t="inlineStr">
        <is>
          <t>Segundo a CNN Brasil (fev/2025), a área técnica do TCU entendeu que os recursos do Pé-de-Meia vindos de FGO, Fgeduc e Fundo Social são receitas públicas e precisam constar do Orçamento. O ministro Augusto Nardes disse que a questão dos R$ 13 bi 'ainda não está solucionada' e que o governo 'vai ter que tirar de algum setor ou outro'. Isso mostra que o programa disputa espaço com despesas discricionárias sob o arcabouço fiscal. Um voucher-creche nacional seria despesa obrigatória de caráter continuado e exigiria compensação pela LRF (art. 17), o que pressiona os orçamentos de 2027 a 2030.</t>
        </is>
      </c>
      <c r="K22" s="21" t="inlineStr">
        <is>
          <t>A falta de vagas em creche se concentra nas periferias metropolitanas e no Norte e Nordeste, onde a rede privada é pequena. Por isso o voucher tende a ter menos efeito justamente onde falta vaga pública.</t>
        </is>
      </c>
      <c r="L22" s="21" t="inlineStr">
        <is>
          <t>A creche é competência prioritária dos municípios. O STF fixou em 2022 (Tema 548) que a vaga em creche é direito exigível do poder público, mas a obrigação continua municipal. O voucher exigiria lei federal, regras de credenciamento e fiscalização das escolas privadas e dotação na LOA. A manutenção do Pé-de-Meia depende de dotação anual e da regularização orçamentária exigida pelo TCU.</t>
        </is>
      </c>
      <c r="M22" s="21" t="inlineStr">
        <is>
          <t>Média</t>
        </is>
      </c>
      <c r="N22" s="29" t="n">
        <v>0.5</v>
      </c>
      <c r="O22" s="21" t="inlineStr">
        <is>
          <t>REAVALIADO SEM FONTES ENVIESADAS. Retirei a Gazeta do Povo. Os dados da CNN Brasil foram conferidos. Ajuste de redação: os fundos (FGO, Fgeduc, Fundo Social) aparecem no parecer da área técnica do TCU, e não numa fala de Nardes. A viabilidade de 50% foi mantida. Revisor: Abri a CNN Brasil, que confirma o valor de R$ 13 bi, a fala de Nardes e o parecer técnico sobre os fundos. Nenhum dado depende só da fonte excluída. A reavaliação está correta, e o ajuste da descrição do custo foi adequado. Folha PE e A Crítica não foram reabertas nesta revisão, mas não sustentam nenhum número exclusivo.</t>
        </is>
      </c>
      <c r="P22" s="21" t="inlineStr">
        <is>
          <t>https://www.cnnbrasil.com.br/politica/tcu-julga-pe-de-meia-nesta-quarta-feira-12/
https://www.folhape.com.br/economia/tcu-aponta-irregularidade-fiscal-e-confirma-bloqueio-de-r-6-bi-do/386268/
https://acritica.net/economia/pe-de-meia-alta-903-orcamento-decisao-tcu-arcabouco-fiscal/</t>
        </is>
      </c>
      <c r="R22" s="12" t="inlineStr">
        <is>
          <t>Educação</t>
        </is>
      </c>
    </row>
    <row r="23">
      <c r="A23" s="21" t="inlineStr">
        <is>
          <t>PF22</t>
        </is>
      </c>
      <c r="B23" s="21" t="inlineStr">
        <is>
          <t>Flávio</t>
        </is>
      </c>
      <c r="C23" s="21" t="inlineStr">
        <is>
          <t>Educação</t>
        </is>
      </c>
      <c r="D23" s="21" t="inlineStr">
        <is>
          <t>01:23</t>
        </is>
      </c>
      <c r="E23" s="21" t="inlineStr">
        <is>
          <t>Expandir ensino integral com ensino técnico no contraturno (tecnologia, IA, aplicativos), modelo dual empresa-escola e retomar os Jogos Escolares com e-sports.</t>
        </is>
      </c>
      <c r="F23" s="30" t="n">
        <v>0.55</v>
      </c>
      <c r="G23" s="23">
        <f>IF(F23&gt;=0.7,"Alta",IF(F23&gt;=0.4,"Média","Baixa"))</f>
        <v/>
      </c>
      <c r="H23" s="21" t="inlineStr">
        <is>
          <t>A expansão do tempo integral e do ensino técnico já está em curso. Tem base legal (Lei 14.640/2023 e Lei 14.945/2024) e financiamento pelo Fundeb, então tende a ser cumprida em algum grau. Os Jogos Escolares com e-sports são baratos e fáceis de fazer. O que puxa a nota para baixo é o núcleo mais específico da promessa: contraturno técnico focado em IA e aplicativos e o modelo dual empresa-escola em escala. Faltam professores e infraestrutura, a adesão de estados e municípios é voluntária e o modelo dual provavelmente exige mudanças legais. O resultado se mantém.</t>
        </is>
      </c>
      <c r="I23" s="21" t="inlineStr">
        <is>
          <t>Moderado. O MEC informa R$ 4 bi investidos desde 2023 no Programa Escola em Tempo Integral. Ampliar o programa em escala parecida custaria alguns bilhões de reais a mais no mandato. A faixa de R$ 3 a 8 bi/ano não tem fonte oficial e vale só como ordem de grandeza. Jogos Escolares com e-sports custam pouco, na casa de dezenas de milhões. O modelo dual tem custo indeterminado, porque depende de incentivo fiscal ou bolsa-aprendizagem.</t>
        </is>
      </c>
      <c r="J23" s="21" t="inlineStr">
        <is>
          <t>Segundo dados MEC/Inep da 1ª etapa do Censo Escolar 2025, reproduzidos pelo Conexão Tocantins em 26/02/2026, o tempo integral na rede pública passou de 15,1% (2021) para 25,8% (2025). No ensino médio, foi de 16,7% (2022) para 26,8% (2025). São mais de 8,8 milhões de alunos, e o MEC informa R$ 4 bi no Programa Escola em Tempo Integral desde 2023. A educação profissional foi de 1.892.458 matrículas (2021) para 3.187.976 (2025), alta de 68,4%, segundo a Agência Brasil republicada pelo Diário do Comércio. Os dados são de 1ª etapa do Censo, portanto preliminares. O Fundeb dá peso maior à matrícula integral e à EPT. O arcabouço fiscal limita a expansão.</t>
        </is>
      </c>
      <c r="K23" s="21" t="inlineStr">
        <is>
          <t>Quem executa são as redes estaduais (ensino médio) e municipais. A União induz por meio de repasses. A oferta de EPT é desigual: pelo Censo 2024 (Inep, citado pelo Metrópoles), há 1 escola com EPT para cada 12,6 escolas no Sudeste e 1 para cada 26,7 no Norte. O modelo dual depende de um tecido empresarial denso, o que favorece Sul e Sudeste. Faltam conectividade e professores de computação e IA no Norte, no interior do Nordeste e em áreas rurais.</t>
        </is>
      </c>
      <c r="L23" s="21" t="inlineStr">
        <is>
          <t>1) Pacto federativo: a adesão de estados e municípios é voluntária. 2) Faltam professores de computação, IA e desenvolvimento de aplicativos, e falta infraestrutura digital. 3) O modelo dual empresa-escola não tem tradição em escala no país. Provavelmente exige ajustes na Lei da Aprendizagem/CLT e incentivos aprovados pelo Congresso, com risco de ficar em projetos-piloto. 4) Arcabouço fiscal e disputa orçamentária. 5) As metas do novo PNE não foram verificadas. 6) Os Jogos Escolares não deixaram de existir por completo, então 'retomar' é em parte uma premissa questionável.</t>
        </is>
      </c>
      <c r="M23" s="21" t="inlineStr">
        <is>
          <t>Média</t>
        </is>
      </c>
      <c r="N23" s="29" t="n">
        <v>0.55</v>
      </c>
      <c r="O23" s="21" t="inlineStr">
        <is>
          <t>REAVALIADO SEM FONTES ENVIESADAS. Retirei a TVT. Os números foram conferidos em Conexão Tocantins, Diário do Comércio/Agência Brasil e Metrópoles. A viabilidade de 55% foi mantida. Revisor: Abri Conexão Tocantins (15,1% para 25,8%; 16,7% para 26,8%; 8,8 milhões de alunos; R$ 4 bi), Diário do Comércio/Agência Brasil (1.892.458 para 3.187.976 matrículas de EPT, 1ª etapa do Censo) e Metrópoles (12,6 e 26,7, Censo 2024). Ajuste mínimo de redação: o dado regional se refere a 'escolas com EPT', e não a 'unidades'. Itatiaia e Jornal de Brasília não foram reabertos, mas não sustentam números exclusivos.</t>
        </is>
      </c>
      <c r="P23" s="21" t="inlineStr">
        <is>
          <t>https://conexaoto.com.br/2026/02/26/um-em-cada-quatro-alunos-da-rede-publica-estuda-em-tempo-integral
https://diariodocomercio.com.br/?p=561940
https://www.metropoles.com/brasil/censo-escolar-alunos-tempo-integral
https://www.itatiaia.com.br/educacao/censo-escolar-registra-queda-de-1-milhao-nas-matriculas-e-avanco-do-ensino-tecnico/</t>
        </is>
      </c>
      <c r="R23" s="12" t="inlineStr">
        <is>
          <t>Educação</t>
        </is>
      </c>
    </row>
    <row r="24">
      <c r="A24" s="21" t="inlineStr">
        <is>
          <t>PF23</t>
        </is>
      </c>
      <c r="B24" s="21" t="inlineStr">
        <is>
          <t>Flávio</t>
        </is>
      </c>
      <c r="C24" s="21" t="inlineStr">
        <is>
          <t>Segurança</t>
        </is>
      </c>
      <c r="D24" s="21" t="inlineStr">
        <is>
          <t>01:27</t>
        </is>
      </c>
      <c r="E24" s="21" t="inlineStr">
        <is>
          <t>Classificar PCC, Comando Vermelho e milícias como organizações narcoterroristas.</t>
        </is>
      </c>
      <c r="F24" s="30" t="n">
        <v>0.45</v>
      </c>
      <c r="G24" s="23">
        <f>IF(F24&gt;=0.7,"Alta",IF(F24&gt;=0.4,"Média","Baixa"))</f>
        <v/>
      </c>
      <c r="H24" s="21" t="inlineStr">
        <is>
          <t>Basta maioria simples, a pauta é popular e a Câmara mostrou maioria punitivista ao aprovar o PL Antifacção por 370 a 110. O bloqueio anterior foi regimental, então um projeto autônomo pode avançar. Pesam contra a resistência técnica da PF e de juristas, o risco no STF e a lei antifacção recente, que reduz a urgência da mudança.</t>
        </is>
      </c>
      <c r="I24" s="21" t="inlineStr">
        <is>
          <t>Baixo custo fiscal direto, pois é uma mudança legislativa. Os custos indiretos, com inteligência e cooperação internacional, não são estimáveis.</t>
        </is>
      </c>
      <c r="J24" s="21" t="inlineStr">
        <is>
          <t>O impacto no Orçamento é pequeno. O governo e especialistas apontam riscos indiretos: sanções extraterritoriais contra empresas e bancos com vínculos involuntários com as facções e o uso do rótulo de terrorismo por outros países como justificativa para intervir no Brasil.</t>
        </is>
      </c>
      <c r="K24" s="21" t="inlineStr">
        <is>
          <t>PCC e CV atuam em escala nacional e transnacional, com presença forte em SP, no RJ, na Amazônia (rotas do tráfico) e nas fronteiras. As milícias se concentram no RJ. Depois da megaoperação no Rio (out/2025, 121 mortos), governadores do RJ e de SP passaram a defender a equiparação.</t>
        </is>
      </c>
      <c r="L24" s="21" t="inlineStr">
        <is>
          <t>A medida exige alterar por lei ordinária a Lei 13.260/2016, que hoje exige motivação política, ideológica, xenofóbica ou religiosa para caracterizar terrorismo. Em nov/2025, Hugo Motta barrou os destaques com a equiparação por razão regimental, já que o tema estava fora do escopo do PL Antifacção, e não por mérito. A Lei Antifacção, sancionada em 24/03/2026, criou o crime hediondo de 'domínio social estruturado', com pena de 20 a 40 anos, sem enquadrar as facções como terrorismo. O diretor-geral da PF chamou a equiparação de 'erro técnico'. Há risco de questionamento no STF.</t>
        </is>
      </c>
      <c r="M24" s="21" t="inlineStr">
        <is>
          <t>Média</t>
        </is>
      </c>
      <c r="N24" s="29" t="n">
        <v>0.4</v>
      </c>
      <c r="O24" s="21" t="inlineStr">
        <is>
          <t>Subi de 40% para 45%. O Poder360 mostra que Motta barrou a equiparação com base no art. 162 do Regimento Interno (fora do escopo) e não por mérito. Isso enfraquece o argumento de que a ideia 'já foi barrada uma vez'. Confirmei a lei sancionada em 24/03/2026 e o tipo penal de 'domínio social estruturado' (O Povo). A promessa também está no programa 'Brasil sem Medo' (InfoMoney, 18/06/2026). A nota continua na faixa Média por causa do risco no STF e da resistência técnica.</t>
        </is>
      </c>
      <c r="P24" s="21" t="inlineStr">
        <is>
          <t>https://www.poder360.com.br/poder-congresso/motta-barra-emendas-que-enquadram-faccoes-como-terrorismo/
https://www.opovo.com.br/noticias/mundo/2026/03/26/entenda-o-pl-antifaccao-sancionado-por-lula.html
https://www.metropoles.com/brasil/camara-aprova-pl-antifaccao
https://www.infomoney.com.br/politica/flavio-propoe-castracao-quimica-reducao-de-maioridade-penal-e-mudanca-em-presidios/</t>
        </is>
      </c>
      <c r="R24" s="12" t="inlineStr">
        <is>
          <t>Segurança</t>
        </is>
      </c>
    </row>
    <row r="25">
      <c r="A25" s="21" t="inlineStr">
        <is>
          <t>PF24</t>
        </is>
      </c>
      <c r="B25" s="21" t="inlineStr">
        <is>
          <t>Flávio</t>
        </is>
      </c>
      <c r="C25" s="21" t="inlineStr">
        <is>
          <t>Segurança</t>
        </is>
      </c>
      <c r="D25" s="21" t="inlineStr">
        <is>
          <t>01:28</t>
        </is>
      </c>
      <c r="E25" s="21" t="inlineStr">
        <is>
          <t>Pena mínima de 8 anos de prisão para roubo de celular, com trabalho obrigatório no presídio.</t>
        </is>
      </c>
      <c r="F25" s="28" t="n">
        <v>0.2</v>
      </c>
      <c r="G25" s="25">
        <f>IF(F25&gt;=0.7,"Alta",IF(F25&gt;=0.4,"Média","Baixa"))</f>
        <v/>
      </c>
      <c r="H25" s="21" t="inlineStr">
        <is>
          <t>Projetos que endurecem penas costumam passar no Congresso, mas o patamar de 8 anos é desproporcional dentro do sistema penal e tende a ser reduzido no Congresso ou derrubado no STF, que tem precedente nesse sentido. O trabalho 'obrigatório' só cabe no formato que a LEP já prevê. A capacidade prisional também limita a aplicação.</t>
        </is>
      </c>
      <c r="I25" s="21" t="inlineStr">
        <is>
          <t>Não estimável com precisão. Penas mínimas maiores para um crime de altíssima frequência ampliam a população carcerária, e o custo de construir e manter vagas recai sobretudo sobre os estados.</t>
        </is>
      </c>
      <c r="J25" s="21" t="inlineStr">
        <is>
          <t>O sistema prisional já opera com superlotação. O próprio programa de Flávio promete 500 mil vagas novas em quatro anos para zerar o déficit, o que dá a dimensão do problema e do custo. Endurecer a pena do roubo de celular aumentaria a demanda por vagas exatamente nos estados mais pressionados.</t>
        </is>
      </c>
      <c r="K25" s="21" t="inlineStr">
        <is>
          <t>O roubo de celular se concentra nas capitais e regiões metropolitanas (SP, RJ, Salvador, Recife, Fortaleza, Belém), que estão entre os sistemas prisionais mais lotados.</t>
        </is>
      </c>
      <c r="L25" s="21" t="inlineStr">
        <is>
          <t>Exige lei ordinária alterando o Código Penal (art. 157, roubo, hoje com pena de 4 a 10 anos). Um mínimo de 8 anos superaria o do homicídio simples, que é de 6 anos. O STF já declarou inconstitucional uma pena desproporcional no Tema 1003 (2021), sobre a pena mínima de 10 anos do art. 273 do CP. O art. 5º, XLVII, 'c', da Constituição veda trabalhos forçados. A LEP já prevê o trabalho como dever do preso, mas a oferta de vagas de trabalho nos presídios é baixa e depende da gestão estadual. Há ainda uma inconsistência: o programa escrito ('Brasil sem Medo') fala em quadruplicar a pena de furto e receptação de celular, com mínimo de 4 anos, enquanto no debate o candidato falou em mínimo de 8 anos para roubo.</t>
        </is>
      </c>
      <c r="M25" s="21" t="inlineStr">
        <is>
          <t>Média</t>
        </is>
      </c>
      <c r="N25" s="29" t="n">
        <v>0.25</v>
      </c>
      <c r="O25" s="21" t="inlineStr">
        <is>
          <t>Reduzi de 25% para 20%. Acrescentei o precedente do STF que derrubou pena mínima desproporcional (Tema 1003, art. 273 do CP). Registrei a diferença entre o programa escrito, segundo o InfoMoney (mínimo de 4 anos para furto e receptação), e a fala no debate (mínimo de 8 anos para roubo), o que indica que a versão de 8 anos deve ser desidratada. O déficit de mais de 150 mil vagas do Senappen, citado na análise original, não foi reverificado nesta revisão porque o limite de buscas da sessão acabou.</t>
        </is>
      </c>
      <c r="P25" s="21" t="inlineStr">
        <is>
          <t>https://www.infomoney.com.br/politica/flavio-propoe-castracao-quimica-reducao-de-maioridade-penal-e-mudanca-em-presidios/
https://www.planalto.gov.br/ccivil_03/decreto-lei/del2848compilado.htm
https://www.planalto.gov.br/ccivil_03/leis/l7210.htm</t>
        </is>
      </c>
      <c r="R25" s="12" t="inlineStr">
        <is>
          <t>Segurança</t>
        </is>
      </c>
    </row>
    <row r="26">
      <c r="A26" s="21" t="inlineStr">
        <is>
          <t>PF25</t>
        </is>
      </c>
      <c r="B26" s="21" t="inlineStr">
        <is>
          <t>Flávio</t>
        </is>
      </c>
      <c r="C26" s="21" t="inlineStr">
        <is>
          <t>Segurança</t>
        </is>
      </c>
      <c r="D26" s="21" t="inlineStr">
        <is>
          <t>01:28</t>
        </is>
      </c>
      <c r="E26" s="21" t="inlineStr">
        <is>
          <t>Reduzir a maioridade penal para 16 anos (e 14 anos para estupro) e instituir castração química para estupradores e abusadores.</t>
        </is>
      </c>
      <c r="F26" s="28" t="n">
        <v>0.15</v>
      </c>
      <c r="G26" s="25">
        <f>IF(F26&gt;=0.7,"Alta",IF(F26&gt;=0.4,"Média","Baixa"))</f>
        <v/>
      </c>
      <c r="H26" s="21" t="inlineStr">
        <is>
          <t>O pacote reúne medidas com barreira constitucional altíssima. A redução da maioridade penal exige PEC e está sujeita a forte controle do STF por envolver possível cláusula pétrea. A castração química, apresentada como condição para o condenado sair da prisão, esbarra na vedação a penas cruéis e no direito à integridade física. O avanço na CCJ da Câmara é real e foi confirmado pela Exame (10/06/2026, 44 a 18), mas faltam comissão especial, plenário da Câmara e todo o trâmite no Senado. Pesam ainda o engavetamento no Senado da PEC aprovada na Câmara em 2015 e a oposição da base do governo. Por isso o cumprimento substancial até 2030 é improvável.</t>
        </is>
      </c>
      <c r="I26" s="21" t="inlineStr">
        <is>
          <t>Não estimável. Haveria custo de novas vagas no sistema prisional para jovens de 16 e 17 anos (e de 14 anos em crimes graves) e custo de medicação e acompanhamento médico na castração química.</t>
        </is>
      </c>
      <c r="J26" s="21" t="inlineStr">
        <is>
          <t>O impacto fiscal recai sobre os estados, que já têm déficit de vagas prisionais e socioeducativas. O custo da castração química é pequeno em escala, mas exige estrutura de saúde dentro do sistema prisional.</t>
        </is>
      </c>
      <c r="K26" s="21" t="inlineStr">
        <is>
          <t>Nacional. A violência juvenil é mais grave nas periferias do Nordeste e do Norte e nas metrópoles do Sudeste.</t>
        </is>
      </c>
      <c r="L26" s="21" t="inlineStr">
        <is>
          <t>A maioridade penal está no art. 228 da Constituição. Mudá-la exige PEC aprovada por 3/5 em dois turnos nas duas Casas (308 deputados e 49 senadores), e há forte debate sobre se a regra é cláusula pétrea (art. 60, §4º, IV). Segundo a Exame, a CCJ da Câmara aprovou a admissibilidade em 10/06/2026, por 44 a 18. O governo e as federações PT-PCdoB-PV e PSOL-Rede orientaram contra, e a oposição, o PL e União-PP a favor. A PEC segue para comissão especial (relatoria de Mendonça Filho em acordo, ainda não formalizada), depois plenário da Câmara e Senado. Uma PEC semelhante passou na Câmara em 2015 e foi engavetada no Senado. Segundo a InfoMoney, o programa de Flávio prevê punir como adultos jovens de 14 anos por estupro, tráfico, tortura ou assassinato, o que é ainda mais difícil de aprovar. A castração química como condição para sair da prisão esbarra no art. 5º, XLVII, 'e', e no art. 5º, III e XLIX, e provavelmente seria contestada no STF.</t>
        </is>
      </c>
      <c r="M26" s="21" t="inlineStr">
        <is>
          <t>Alta</t>
        </is>
      </c>
      <c r="N26" s="29" t="n">
        <v>0.15</v>
      </c>
      <c r="O26" s="21" t="inlineStr">
        <is>
          <t>REAVALIADO SEM FONTES ENVIESADAS. Retirei a Jovem Pan. Tramitação, placar e histórico de 2015 foram confirmados pela Exame, e o conteúdo do programa pela InfoMoney. Ajustes de redação: a relatoria de Mendonça Filho é um acordo ainda não formalizado, a castração é proposta como condição para sair da prisão e os crimes que levariam à punição aos 14 anos estão listados. A viabilidade de 15% foi mantida. Revisor: Abri a Exame (10/06/2026, 44 a 18, orientações das bancadas, próximos passos, engavetamento em 2015) e a InfoMoney (16 anos; 14 anos para estupro, tráfico, tortura e assassinato; castração como condição de saída da prisão). A Exame fala em 'engavetado', e não formalmente 'arquivado'. Nuance menor, sem efeito no resultado.</t>
        </is>
      </c>
      <c r="P26" s="21" t="inlineStr">
        <is>
          <t>https://exame.com/brasil/ccj-da-camara-aprova-reducao-da-maioridade-penal-para-16-anos/
https://www.infomoney.com.br/politica/flavio-propoe-castracao-quimica-reducao-de-maioridade-penal-e-mudanca-em-presidios/
https://www25.senado.leg.br/web/atividade/materias/-/materia/135977/pdf
https://www.band.com.br/politica/noticias/ccj-da-camara-deve-votar-a-proposta-de-reducao-da-maioridade-penal-202605191325</t>
        </is>
      </c>
      <c r="R26" s="12" t="inlineStr">
        <is>
          <t>Segurança</t>
        </is>
      </c>
    </row>
    <row r="27">
      <c r="A27" s="21" t="inlineStr">
        <is>
          <t>PF26</t>
        </is>
      </c>
      <c r="B27" s="21" t="inlineStr">
        <is>
          <t>Flávio</t>
        </is>
      </c>
      <c r="C27" s="21" t="inlineStr">
        <is>
          <t>Mulheres</t>
        </is>
      </c>
      <c r="D27" s="21" t="inlineStr">
        <is>
          <t>01:31</t>
        </is>
      </c>
      <c r="E27" s="21" t="inlineStr">
        <is>
          <t>Monitorar eletronicamente agressores de mulheres com alerta no celular da vítima e criar Casas da Mulher Brasileira com cursos e crédito barato.</t>
        </is>
      </c>
      <c r="F27" s="30" t="n">
        <v>0.65</v>
      </c>
      <c r="G27" s="23">
        <f>IF(F27&gt;=0.7,"Alta",IF(F27&gt;=0.4,"Média","Baixa"))</f>
        <v/>
      </c>
      <c r="H27" s="21" t="inlineStr">
        <is>
          <t>A frente de monitoramento é praticamente garantida, porque já tem lei e fundo. A expansão das Casas e o crédito são vagos e têm execução historicamente lenta. Por isso a promessa fica em média alta, com leve redução em relação à nota original.</t>
        </is>
      </c>
      <c r="I27" s="21" t="inlineStr">
        <is>
          <t>Moderado, sem estimativa oficial consolidada. O PL 2942/2024 custeia tornozeleiras e dispositivos de alerta pelo Fundo Nacional de Segurança Pública (FNSP) e eleva de 5% para 6% a parcela do fundo voltada à violência contra a mulher, o que dá algumas centenas de milhões de reais por ano. Construir e manter novas Casas da Mulher Brasileira e oferecer crédito subsidiado gera custo extra que não foi quantificado. Fonte: Diário de Pernambuco, 03/2026.</t>
        </is>
      </c>
      <c r="J27" s="21" t="inlineStr">
        <is>
          <t>O monitoramento já tem fonte de recurso vinculada (FNSP) e base legal: o PL 2942/2024 foi aprovado pelo Senado em 17/03/2026 e enviado à sanção. Ele torna o programa permanente e prevê alerta simultâneo para a vítima e para a polícia. As Casas e o crédito barato disputam espaço nas despesas discricionárias, que o arcabouço vem comprimindo.</t>
        </is>
      </c>
      <c r="K27" s="21" t="inlineStr">
        <is>
          <t>Alcance nacional. Os municípios sem comarca, comuns no Norte e no Nordeste, ganham a possibilidade de o delegado determinar a tornozeleira. Por outro lado, a cobertura móvel no interior e o número de centrais estaduais de monitoramento são desiguais entre as regiões.</t>
        </is>
      </c>
      <c r="L27" s="21" t="inlineStr">
        <is>
          <t>Quase não há barreira legislativa, porque a lei já foi aprovada pelo Senado. Os estados operam o monitoramento e o Judiciário determina a medida. As Casas da Mulher Brasileira dependem de terreno e contrapartida estadual ou municipal e têm histórico de obras lentas. O crédito barato exige que bancos públicos o operacionalizem, e a promessa não traz metas.</t>
        </is>
      </c>
      <c r="M27" s="21" t="inlineStr">
        <is>
          <t>Média</t>
        </is>
      </c>
      <c r="N27" s="29" t="n">
        <v>0.68</v>
      </c>
      <c r="O27" s="21" t="inlineStr">
        <is>
          <t>Conferi no Diário de Pernambuco os dados do PL 2942/2024 (aprovação, ida à sanção, alerta para a vítima) e encontrei o financiamento pelo FNSP (de 5% para 6%), que a análise original não citava. Reduzi 3 pontos porque as metas das Casas e do crédito não estão definidas e porque obras desse tipo atrasam com frequência. Assim a régua fica coerente com a PL02, outra promessa apoiada em política já existente. O limite de buscas da sessão acabou, então não consegui confirmar se a lei já foi sancionada.</t>
        </is>
      </c>
      <c r="P27" s="21" t="inlineStr">
        <is>
          <t>https://www.diariodepernambuco.com.br/brasil/2026/03/11710307-senado-aprova-uso-imediato-de-tornozeleira-por-agressor-de-mulher.html
https://www.migalhas.com.br/quentes/427156/senado-aprova-tornozeleira-eletronica-para-agressores-de-mulheres
https://www.bemparana.com.br/noticias/politica/senado-obriga-uso-de-tornozeleira-por-agressor-de-mulheres-e-projeto-vai-a-sancao-de-lula/amp/</t>
        </is>
      </c>
      <c r="R27" s="12" t="inlineStr">
        <is>
          <t>Mulheres</t>
        </is>
      </c>
    </row>
    <row r="28">
      <c r="A28" s="21" t="inlineStr">
        <is>
          <t>PF27</t>
        </is>
      </c>
      <c r="B28" s="21" t="inlineStr">
        <is>
          <t>Flávio</t>
        </is>
      </c>
      <c r="C28" s="21" t="inlineStr">
        <is>
          <t>Indígenas</t>
        </is>
      </c>
      <c r="D28" s="21" t="inlineStr">
        <is>
          <t>00:37</t>
        </is>
      </c>
      <c r="E28" s="21" t="inlineStr">
        <is>
          <t>Garantir autonomia aos povos indígenas para decidir o que fazer em suas terras (exploração econômica).</t>
        </is>
      </c>
      <c r="F28" s="28" t="n">
        <v>0.2</v>
      </c>
      <c r="G28" s="25">
        <f>IF(F28&gt;=0.7,"Alta",IF(F28&gt;=0.4,"Média","Baixa"))</f>
        <v/>
      </c>
      <c r="H28" s="21" t="inlineStr">
        <is>
          <t>Normas infralegais e o apoio da bancada do agro permitem avanços parciais. A autonomia ampla que Flávio defendeu na ExpoGrande, de que os indígenas decidam sozinhos se vão plantar, criar gado, explorar minérios ou fazer turismo, em troca de royalties (InfoMoney), esbarra no art. 231, §3º da Constituição. O artigo exige autorização do Congresso para cada caso de mineração, depois de ouvidas as comunidades. O principal projeto que regulamentava o tema, o PL 191/2020, foi retirado pelo Executivo (MSC 107/2023, de 31/03/2023), e a Mesa da Câmara registrou a retirada em 29/05/2023. As fontes permitidas sustentam a nota de 20%.</t>
        </is>
      </c>
      <c r="I28" s="21" t="inlineStr">
        <is>
          <t>Não estimável. O custo fiscal direto é baixo, e o obstáculo é jurídico e constitucional.</t>
        </is>
      </c>
      <c r="J28" s="21" t="inlineStr">
        <is>
          <t>O potencial de royalties depende de investimento privado, e esse investimento exige segurança jurídica. A lei que regulamentaria o art. 231, §3º não existe. O PL 191/2020 tratava de mineração, hidrocarbonetos e geração hidrelétrica em terras indígenas. Ele teve urgência aprovada em 09/03/2022 (Requerimento 227/2022) e foi retirado em 2023. A Câmara e a Exame não informam o placar da urgência, por isso o '279 a 180' foi retirado. Também foi retirada a menção a 'outros projetos de 2026 em tramitação', que não tem fonte. A ementa oficial não fala em 'agricultura em larga escala', e esse ponto saiu.</t>
        </is>
      </c>
      <c r="K28" s="21" t="inlineStr">
        <is>
          <t>A proposta afeta principalmente a Amazônia Legal e o Mato Grosso do Sul. O discurso foi feito em Campo Grande, na ExpoGrande. Críticos e ambientalistas temem poluição, desmatamento e impacto sobre o modo de vida tradicional (InfoMoney). Os detalhes sobre garimpo ilegal (Yanomami, Munduruku) não foram reconfirmados e ficam como contexto geral.</t>
        </is>
      </c>
      <c r="L28" s="21" t="inlineStr">
        <is>
          <t>O art. 231, §3º exige autorização do Congresso depois de ouvidas as comunidades, e a Convenção 169 da OIT prevê consulta prévia. Essas são normas, que não dependem de fonte jornalística. Segundo a Exame, o PL 191 foi criticado por ambientalistas, pelo Ministério Público e por políticos. A oposição específica da APIB e da Funai não pôde ser confirmada, porque a página da Funai retornou erro 401. A frase de Flávio sobre 'a caneta de um juiz' indica disputa judicial. Uma PEC exigiria 3/5 dos votos nas duas Casas e tenderia a ser contestada no STF.</t>
        </is>
      </c>
      <c r="M28" s="21" t="inlineStr">
        <is>
          <t>Média</t>
        </is>
      </c>
      <c r="N28" s="29" t="n">
        <v>0.2</v>
      </c>
      <c r="O28" s="21" t="inlineStr">
        <is>
          <t>REAVALIADO SEM FONTES ENVIESADAS. A viabilidade não mudou. Saíram dados sem confirmação nas fontes permitidas: o placar de 279 a 180, os 'projetos de 2026', a 'agricultura em larga escala' e a oposição atribuída à APIB e à Funai. O link da Funai saiu da lista porque retornou erro 401 e não pôde ser verificado. Revisor: Não há dado de fonte excluída. A conclusão se sustenta, mas o revisor anterior incluiu detalhes que nenhuma fonte aberta confirma (o placar da urgência e os PLs de 2026), e eles foram removidos. A data de 29/05/2023 e a urgência de 09/03/2022 foram confirmadas na página da Câmara.</t>
        </is>
      </c>
      <c r="P28" s="21" t="inlineStr">
        <is>
          <t>https://www.infomoney.com.br/politica/flavio-acena-ao-agro-defende-marco-temporal-e-exploracao-em-terras-indigenas/
https://www.congressoemfoco.com.br/noticia/121097/flavio-diz-que-indigenas-nao-querem-ser-mais-um-animal-de-zoologico
https://www.camara.leg.br/noticias/949978-governo-retira-de-tramitacao-projeto-que-regula-mineracao-em-terra-indigena/
https://www.camara.leg.br/propostas-legislativas/2236765</t>
        </is>
      </c>
      <c r="R28" s="12" t="inlineStr">
        <is>
          <t>Indígenas</t>
        </is>
      </c>
    </row>
    <row r="29">
      <c r="A29" s="21" t="inlineStr">
        <is>
          <t>PL01</t>
        </is>
      </c>
      <c r="B29" s="21" t="inlineStr">
        <is>
          <t>Lula</t>
        </is>
      </c>
      <c r="C29" s="21" t="inlineStr">
        <is>
          <t>Infraestrutura</t>
        </is>
      </c>
      <c r="D29" s="21" t="inlineStr">
        <is>
          <t>00:09</t>
        </is>
      </c>
      <c r="E29" s="21" t="inlineStr">
        <is>
          <t>Continuar e concluir as obras do Novo PAC (BR-319, Transnordestina, FIOL, FICO, túnel Santos-Guarujá, metrôs e VLTs).</t>
        </is>
      </c>
      <c r="F29" s="28" t="n">
        <v>0.37</v>
      </c>
      <c r="G29" s="25">
        <f>IF(F29&gt;=0.7,"Alta",IF(F29&gt;=0.4,"Média","Baixa"))</f>
        <v/>
      </c>
      <c r="H29" s="21" t="inlineStr">
        <is>
          <t>Continuar as obras é quase certo, e entregas parciais até 2030 são prováveis, como a FIOL II, prevista para 2027. A promessa, porém, é concluir todas as obras. A FIOL III teve o traçado trocado para Correntina–Mara Rosa (~840 km) e ainda está em fase de estudos. A FICO tem cerca de 383 km concluídos ou em obras, de um total de 2.304 km. A Transnordestina (trecho Salgueiro–Suape) tem 2030 como meta. A BR-319 não tem licença de instalação para a pavimentação. As fontes permitidas sustentam a nota.</t>
        </is>
      </c>
      <c r="I29" s="21" t="inlineStr">
        <is>
          <t>O PLOA 2027 prevê cerca de R$ 102,1 bilhões em dotações ligadas ao Novo PAC, sendo R$ 11,9 bilhões para rodovias federais e R$ 433,8 milhões para ferrovias. Só a FIOL III custaria cerca de R$ 12 bilhões (ANTT). As obras listadas somam dezenas de bilhões de reais, divididos entre o OGU, estatais, concessões e PPPs.</t>
        </is>
      </c>
      <c r="J29" s="21" t="inlineStr">
        <is>
          <t>O PLOA 2027 prevê R$ 102,1 bilhões em dotações do Novo PAC (com sobreposições), mas só R$ 433,8 milhões para ferrovias, e os valores ainda podem mudar no Congresso. Segundo o Poder360, o reajuste do mínimo deve gerar R$ 49,6 bilhões a mais em despesas em 2027, o que aperta o gasto discricionário. Pela ANTT, a FIOL III custaria cerca de R$ 12 bilhões. O corredor Leste-Oeste, com concessão de 35 anos, prevê investimento de R$ 28,7 bilhões.</t>
        </is>
      </c>
      <c r="K29" s="21" t="inlineStr">
        <is>
          <t>Nordeste: a Transnordestina foi lançada em 2006 e tinha pouco mais de 600 km prontos, de mais de 1,7 mil km, em 2023 (InfoMoney); a meta do trecho Salgueiro–Suape é 2030. Bahia: a FIOL II tem cerca de 345 de 485 km concluídos ou em obras e previsão para 2027. A FIOL III tem traçado novo, ainda em estudos, e leilão que estava previsto para agosto de 2026, sem confirmação de que ocorreu. Centro-Oeste/Norte: a FICO avança devagar. Amazonas: na BR-319, o Ibama emitiu a LI 1558/2026 só para três pontes no trecho do meio. Baixada Santista: não há prazo confirmado para o túnel.</t>
        </is>
      </c>
      <c r="L29" s="21" t="inlineStr">
        <is>
          <t>Na BR-319, a LP 672/2022 foi restabelecida por decisão monocrática do TRF1 em 09/02/2026. Antes, o colegiado havia mantido a liminar por 2 a 1. O Observatório do Clima pede a anulação da licença, e o MPF e o OC recorreram. A LI da pavimentação depende de EIA a cargo do Dnit. Há ainda desapropriações, contingenciamentos e a disputa com as emendas. A FIOL III e a FICO dependem de concessão, e metrôs e VLTs dependem de estados e municípios.</t>
        </is>
      </c>
      <c r="M29" s="21" t="inlineStr">
        <is>
          <t>Média</t>
        </is>
      </c>
      <c r="N29" s="29" t="n">
        <v>0.37</v>
      </c>
      <c r="O29" s="21" t="inlineStr">
        <is>
          <t>REAVALIADO SEM FONTES ENVIESADAS. A viabilidade não mudou. Os números sobre FIOL II, FICO e Transnordestina, a FIOL III e a BR-319 foram confirmados nas fontes permitidas. A informação de que a FIOL III 'não começou' foi trocada por 'em fase de estudos', e o leilão de agosto de 2026 passou a ser tratado como previsão não confirmada. Conferi o clickpetroleoegas (valores do PLOA e km das ferrovias), o InfoMoney (Transnordestina em 2006, ~600 km de 1,7 mil), a Cenarium (LP 2022, TRF1 em 09/02/2026, OC e MPF), o EmTempo (LI só para pontes) e a Tribuna dos Municípios (FIOL III e R$ 12 bilhões). Só a nuance sobre o andamento da FIOL III precisou de ajuste.</t>
        </is>
      </c>
      <c r="P29" s="21" t="inlineStr">
        <is>
          <t>https://www1.siop.planejamento.gov.br/siopdoc/lib/exe/fetch.php/ploa:abertura_ploa-2027_quanti_externa_final.pdf
https://www.infomoney.com.br/?p=2213754
https://poder360.com.br/poder-economia/orcamento-governo-estima-salario-minimo-de-r-1-741-em-2027/
https://clickpetroleoegas.com.br/ploa-2027-novo-pac-rodovias-ferrovias-portos-rss94/</t>
        </is>
      </c>
      <c r="R29" s="12" t="inlineStr">
        <is>
          <t>Infraestrutura</t>
        </is>
      </c>
    </row>
    <row r="30">
      <c r="A30" s="21" t="inlineStr">
        <is>
          <t>PL02</t>
        </is>
      </c>
      <c r="B30" s="21" t="inlineStr">
        <is>
          <t>Lula</t>
        </is>
      </c>
      <c r="C30" s="21" t="inlineStr">
        <is>
          <t>Economia / Renda</t>
        </is>
      </c>
      <c r="D30" s="21" t="inlineStr">
        <is>
          <t>00:16</t>
        </is>
      </c>
      <c r="E30" s="21" t="inlineStr">
        <is>
          <t>Manter a política de valorização do salário mínimo acima da inflação (inflação + PIB) para trabalhadores, aposentados e BPC.</t>
        </is>
      </c>
      <c r="F30" s="31" t="n">
        <v>0.76</v>
      </c>
      <c r="G30" s="24">
        <f>IF(F30&gt;=0.7,"Alta",IF(F30&gt;=0.4,"Média","Baixa"))</f>
        <v/>
      </c>
      <c r="H30" s="21" t="inlineStr">
        <is>
          <t>A política está em vigor e calibrada ao arcabouço até 2030, o que torna provável manter o ganho real. O custo elevado, de cerca de R$ 413 milhões por R$ 1, e a compressão das despesas discricionárias criam risco real de revisão.</t>
        </is>
      </c>
      <c r="I30" s="21" t="inlineStr">
        <is>
          <t>Para 2027, o mínimo passa de R$ 1.621 para R$ 1.741 (+7,4%). Cada R$ 1 de aumento gera cerca de R$ 413,2 milhões em despesa primária, e o custo total do reajuste de 2027 é de R$ 49,6 bilhões. Fonte: Consultorias de Orçamento da Câmara e do Senado, via Poder360 (PLDO/PLOA 2027).</t>
        </is>
      </c>
      <c r="J30" s="21" t="inlineStr">
        <is>
          <t>A regra está em lei: INPC mais o PIB de dois anos antes (2,3% em 2025, usado para 2027). O ganho real é limitado a uma faixa compatível com o arcabouço, de no máximo 2,5% ao ano, até 2030. A vinculação de benefícios previdenciários, do BPC e do abono ao mínimo pressiona as despesas obrigatórias e é o principal ponto de revisão no debate fiscal.</t>
        </is>
      </c>
      <c r="K30" s="21" t="inlineStr">
        <is>
          <t>Alcance nacional, com impacto proporcionalmente maior no Nordeste e no Norte e nos municípios pequenos, onde a renda depende de aposentadorias e do BPC atrelados ao mínimo.</t>
        </is>
      </c>
      <c r="L30" s="21" t="inlineStr">
        <is>
          <t>Basta manter a lei ordinária e publicar o decreto anual. Os riscos são uma nova restrição da regra ou a desvinculação dos benefícios, se o arcabouço ficar insustentável a partir de 2027. Com o teto de 2,5%, o reajuste não é 'inflação + PIB' integral, mas segue acima da inflação.</t>
        </is>
      </c>
      <c r="M30" s="21" t="inlineStr">
        <is>
          <t>Alta</t>
        </is>
      </c>
      <c r="N30" s="29" t="n">
        <v>0.78</v>
      </c>
      <c r="O30" s="21" t="inlineStr">
        <is>
          <t>Confirmei no Poder360 o valor de R$ 1.741, a regra INPC + PIB e o teto de 2,5%. Corrigi o custo: a análise original estimava cerca de R$ 390 milhões por R$ 1, e o número das Consultorias de Orçamento é de R$ 413,2 milhões por R$ 1, com R$ 49,6 bilhões no total. Reduzi 2 pontos por causa do custo maior e do risco fiscal a partir de 2027. Descartei o Movimento Econômico por ser fonte menos consolidada.</t>
        </is>
      </c>
      <c r="P30" s="21" t="inlineStr">
        <is>
          <t>https://poder360.com.br/poder-economia/orcamento-governo-estima-salario-minimo-de-r-1-741-em-2027/
https://www.dgabc.com.br/Noticia/4343075/salario-minimo-devera-subir-para-r$-1-741-em-2027
https://www.jb.com.br/editorias/2026/10/05/salario-minimo-2027.html
https://movimentoeconomico.com.br/economia/2026/08/25/salario-minimo-de-2027-tem-projecao-de-r-1-741-com-alta-de-74/</t>
        </is>
      </c>
      <c r="R30" s="12" t="inlineStr">
        <is>
          <t>Economia</t>
        </is>
      </c>
    </row>
    <row r="31">
      <c r="A31" s="21" t="inlineStr">
        <is>
          <t>PL03</t>
        </is>
      </c>
      <c r="B31" s="21" t="inlineStr">
        <is>
          <t>Lula</t>
        </is>
      </c>
      <c r="C31" s="21" t="inlineStr">
        <is>
          <t>Mobilidade</t>
        </is>
      </c>
      <c r="D31" s="21" t="inlineStr">
        <is>
          <t>00:18</t>
        </is>
      </c>
      <c r="E31" s="21" t="inlineStr">
        <is>
          <t>Tarifa zero no transporte coletivo nos fins de semana para os trabalhadores.</t>
        </is>
      </c>
      <c r="F31" s="28" t="n">
        <v>0.2</v>
      </c>
      <c r="G31" s="25">
        <f>IF(F31&gt;=0.7,"Alta",IF(F31&gt;=0.4,"Média","Baixa"))</f>
        <v/>
      </c>
      <c r="H31" s="21" t="inlineStr">
        <is>
          <t>A aprovação depende de o Congresso abrir mão de parte das próprias emendas por meio de uma PEC, algo historicamente improvável. Mesmo aprovada, a implantação nacional depende da adesão das prefeituras. Uma versão parcial é possível, mas a promessa substancial até 2030 tem baixa probabilidade.</t>
        </is>
      </c>
      <c r="I31" s="21" t="inlineStr">
        <is>
          <t>O governo fala em cerca de R$ 12 bilhões por ano para fins de semana e feriados, a NTU em R$ 20,8 bilhões, e o título do Poder360 cita R$ 16 bilhões. O custeio sairia de 26,8% das emendas, dentro dos R$ 44,8 bilhões de emendas obrigatórias do PLOA 2027. Fontes: Poder360, DGABC, Diário do Transporte.</t>
        </is>
      </c>
      <c r="J31" s="21" t="inlineStr">
        <is>
          <t>Pela proposta, a despesa primária não cresce, porque o dinheiro é remanejado das emendas. A NTU, porém, estima um aumento de cerca de 20% na demanda, o que eleva o custo. Fora das emendas não há fonte permanente.</t>
        </is>
      </c>
      <c r="K31" s="21" t="inlineStr">
        <is>
          <t>O benefício se concentra em capitais e regiões metropolitanas com sistema de ônibus estruturado. Muitos municípios pequenos, sobretudo no Norte e no Nordeste, não têm transporte coletivo regular. A adesão das prefeituras é voluntária e a implantação é gradual, sem data definida.</t>
        </is>
      </c>
      <c r="L31" s="21" t="inlineStr">
        <is>
          <t>É uma PEC, que exige 3/5 dos votos em dois turnos na Câmara e no Senado. Ela retira cerca de 27% das emendas impositivas dos próprios parlamentares, num Congresso que vem ampliando as emendas. O transporte urbano é competência municipal, e há contratos de concessão a renegociar. A proposta está atrelada à discussão da escala 6x1.</t>
        </is>
      </c>
      <c r="M31" s="21" t="inlineStr">
        <is>
          <t>Média</t>
        </is>
      </c>
      <c r="N31" s="29" t="n">
        <v>0.25</v>
      </c>
      <c r="O31" s="21" t="inlineStr">
        <is>
          <t>Confirmei no Poder360 o envio da PEC em 21/10/2026, o uso de 26,8% das emendas, a adesão municipal e a implantação gradual sem data. O texto da matéria fala em R$ 12 bilhões e o título em R$ 16 bilhões, divergência que a reportagem não explica. Reduzi de 25 para 20 pela dupla barreira: uma PEC com 3/5 contra o interesse direto dos parlamentares, mais a adesão voluntária dos municípios. É a mesma régua aplicada à PF27, cujo obstáculo também é constitucional. O limite de buscas acabou, então não foi possível checar a reação mais recente do Congresso.</t>
        </is>
      </c>
      <c r="P31" s="21" t="inlineStr">
        <is>
          <t>https://www.poder360.com.br/poder-governo/lula-envia-pec-para-transporte-gratuito-ao-congresso/
https://www.congressoemfoco.com.br/noticia/123316/lula-propoe-usar-emendas-para-financiar-tarifa-zero-aos-fins-de-semana
https://www.dgabc.com.br/Noticia/4354042/tarifa-zero-governo-preve-r$-12-bi-mas-setor-estima-r$-20-8-bi
https://diariodotransporte.com.br/2026/10/19/tarifa-zero-aos-fins-de-semana-e-bom-mas-e-necessario-reduzir-a-passagem-nos-dias-uteis-diz-ntu-custo-de-r-20-bi-por-ano-com-promessa-de-lula/amp/</t>
        </is>
      </c>
      <c r="R31" s="12" t="inlineStr">
        <is>
          <t>Mobilidade</t>
        </is>
      </c>
    </row>
    <row r="32">
      <c r="A32" s="21" t="inlineStr">
        <is>
          <t>PL04</t>
        </is>
      </c>
      <c r="B32" s="21" t="inlineStr">
        <is>
          <t>Lula</t>
        </is>
      </c>
      <c r="C32" s="21" t="inlineStr">
        <is>
          <t>Trabalho</t>
        </is>
      </c>
      <c r="D32" s="21" t="inlineStr">
        <is>
          <t>00:18</t>
        </is>
      </c>
      <c r="E32" s="21" t="inlineStr">
        <is>
          <t>Implementar o fim da escala 6x1, garantindo dois dias de folga semanais aos trabalhadores.</t>
        </is>
      </c>
      <c r="F32" s="31" t="n">
        <v>0.9</v>
      </c>
      <c r="G32" s="24">
        <f>IF(F32&gt;=0.7,"Alta",IF(F32&gt;=0.4,"Média","Baixa"))</f>
        <v/>
      </c>
      <c r="H32" s="21" t="inlineStr">
        <is>
          <t>A emenda foi aprovada nas duas Casas e só falta a promulgação, que não depende do Executivo nem do resultado da eleição. A transição gradual cabe com folga no prazo até 2030. Os 10% restantes cobrem o risco de a implementação ser adiada ou contestada.</t>
        </is>
      </c>
      <c r="I32" s="21" t="inlineStr">
        <is>
          <t>Não há custo fiscal direto para a União. O custo fica com os empregadores, na folha e na reorganização de turnos, e não encontrei estimativa oficial consolidada.</t>
        </is>
      </c>
      <c r="J32" s="21" t="inlineStr">
        <is>
          <t>O texto reduz a jornada máxima de 44 para 40 horas de forma gradual, com manutenção dos salários e duas folgas remuneradas por semana. Comércio e serviços, que usam muita mão de obra, sentem mais o custo em um cenário de crescimento modesto.</t>
        </is>
      </c>
      <c r="K32" s="21" t="inlineStr">
        <is>
          <t>A medida é nacional. O impacto relativo é maior no comércio e nos serviços das metrópoles e nas pequenas empresas do Norte e do Nordeste, que têm produtividade menor.</t>
        </is>
      </c>
      <c r="L32" s="21" t="inlineStr">
        <is>
          <t>A principal barreira já caiu: o Senado aprovou a PEC em 14/10/2026 por 75 a 1 nos dois turnos, sem alterar o texto da Câmara, e ela segue para promulgação pelo Congresso. Restam riscos residuais: regulamentação de setores com escalas especiais, eventuais ações no STF e pressão por adiar a transição.</t>
        </is>
      </c>
      <c r="M32" s="21" t="inlineStr">
        <is>
          <t>Alta</t>
        </is>
      </c>
      <c r="N32" s="29" t="n">
        <v>0.72</v>
      </c>
      <c r="O32" s="21" t="inlineStr">
        <is>
          <t>Ajuste para cima (72 para 90). A análise original estava desatualizada: dizia que o texto ainda aguardava o Senado, mas ele foi aprovado em 14/10/2026 (75 a 1) sem mudanças e vai à promulgação. Com isso some o principal obstáculo considerado. Uma ressalva: o mérito da aprovação também é do Congresso e teve voto favorável de Flávio Bolsonaro, então a 'implementação' independe em boa parte de quem vencer. Descartei fontes não jornalísticas da lista original (O Povo+ e Monitor Mercantil podem ficar como apoio). Limite da revisão: o orçamento de buscas acabou e não confirmei o calendário exato da transição.</t>
        </is>
      </c>
      <c r="P32" s="21" t="inlineStr">
        <is>
          <t>https://dol.com.br/noticias/brasil/965565/fim-da-escala-6x1-veja-como-votaram-os-senadores
https://www.folhavitoria.com.br/politica/senado-aprova-o-fim-da-escala-6x1/
https://www.diariodepernambuco.com.br/politica/2026/09/11722955-senado-oposicao-obstrui-e-fim-da-escala-6x1-nao-vai-a-plenario.html
https://www.poder360.com.br/poder-congresso/motta-quer-votacao-da-pec-do-fim-da-escala-6-x-1-no-plenario-ate-julho/</t>
        </is>
      </c>
      <c r="R32" s="12" t="inlineStr">
        <is>
          <t>Trabalho</t>
        </is>
      </c>
    </row>
    <row r="33">
      <c r="A33" s="21" t="inlineStr">
        <is>
          <t>PL05</t>
        </is>
      </c>
      <c r="B33" s="21" t="inlineStr">
        <is>
          <t>Lula</t>
        </is>
      </c>
      <c r="C33" s="21" t="inlineStr">
        <is>
          <t>Nordeste / Água</t>
        </is>
      </c>
      <c r="D33" s="21" t="inlineStr">
        <is>
          <t>00:41</t>
        </is>
      </c>
      <c r="E33" s="21" t="inlineStr">
        <is>
          <t>Concluir a transposição do São Francisco e suas extensões (ramais e adutoras).</t>
        </is>
      </c>
      <c r="F33" s="30" t="n">
        <v>0.6</v>
      </c>
      <c r="G33" s="23">
        <f>IF(F33&gt;=0.7,"Alta",IF(F33&gt;=0.4,"Média","Baixa"))</f>
        <v/>
      </c>
      <c r="H33" s="21" t="inlineStr">
        <is>
          <t>Encontrei dados novos. Segundo a Agência Gov (jan/2026, vista nos resultados de busca), o Apodi tinha 91,86% de execução e previsão de operar em 2026. Em jul/2026, Lula inaugurou o túnel de Major Sales (PB-RN), com chegada da água ao RN (Movimento Econômico). Isso torna a conclusão do Apodi muito provável antes de 2030. A primeira etapa do Agreste também está avançada. O Ramal do Salgado e as demais 'extensões' ainda são o ponto fraco, e o histórico de atrasos impede uma nota Alta. Ajustei de 62 para 60: o Apodi avançou, mas a amplitude da promessa pesa mais. A busca foi limitada: o orçamento de buscas da sessão se esgotou após a primeira consulta, e não consegui pesquisar o estágio atual do Salgado em 2026.</t>
        </is>
      </c>
      <c r="I33" s="21" t="inlineStr">
        <is>
          <t>Os valores restantes somam alguns bilhões de reais até 2030. O Ramal do Apodi custa entre R$ 1,45 bi e R$ 1,7 bi (as fontes divergem) e já está na reta final. A 1ª etapa da Adutora do Agreste (PE) custa cerca de R$ 2 bi, dos quais a maior parte já foi aplicada. A duplicação do bombeamento do Eixo Norte custa R$ 491 mi. O Ramal do Salgado (CE) e as demais adutoras estaduais custam vários bilhões e são a parcela mais incerta.</t>
        </is>
      </c>
      <c r="J33" s="21" t="inlineStr">
        <is>
          <t>As obras estão no Novo PAC, com investimento plurianual. Investimento é a despesa mais vulnerável a contingenciamento dentro do arcabouço fiscal. A transposição, porém, é prioridade histórica e foi preservada em vários governos. O custo restante é moderado diante do orçamento federal de investimentos.</t>
        </is>
      </c>
      <c r="K33" s="21" t="inlineStr">
        <is>
          <t>A obra é estratégica para o Semiárido (PE, PB, RN e CE). O Apodi atende cerca de 750 mil pessoas em 54 municípios da PB e do RN. O Ramal do Salgado deve atender até 4,7 milhões de pessoas no CE, e o Ramal do Agreste mais de 2,2 milhões em PE, segundo o MIDR. Governadores de vários partidos apoiam as obras. As adutoras dependem de companhias estaduais e de convênios.</t>
        </is>
      </c>
      <c r="L33" s="21" t="inlineStr">
        <is>
          <t>A promessa é ampla: 'extensões' não tem um fim definido. O histórico é de atrasos crônicos, com obras iniciadas em 2007 e eixos entregues só entre 2017 e 2022. O Ramal do Salgado está em estágio menos avançado. Também pesam desapropriações, licenciamento e o custo de operação e bombeamento, que é pago pelos estados. Parte das páginas do governo (Agência Gov) está fora do ar por causa da legislação eleitoral, então não consegui confirmar o percentual de obra mais recente.</t>
        </is>
      </c>
      <c r="M33" s="21" t="inlineStr">
        <is>
          <t>Média</t>
        </is>
      </c>
      <c r="N33" s="29" t="n">
        <v>0.62</v>
      </c>
      <c r="O33" s="21" t="inlineStr">
        <is>
          <t>RECHECADO (2ª rodada). Abri e confirmei a página do MIDR e a tag do Movimento Econômico, que mostra a inauguração do túnel em 2 de julho de 2026. A notícia da Agência Gov de jan/2026 aparece nos resultados da busca com o percentual de 91,86%, mas a página está desativada por causa da legislação eleitoral. Ajustei de 62 para 60: o avanço do Apodi favorece a promessa, mas a amplitude de 'extensões' e o Salgado sem informação recente pesam contra. O limite de buscas da sessão impediu as consultas adicionais.</t>
        </is>
      </c>
      <c r="P33" s="21" t="inlineStr">
        <is>
          <t>https://agenciagov.ebc.com.br/noticias/202601/ramal-do-apodi-avanca-para-a-reta-final-e-reforca-seguranca-hidrica-do-nordeste
https://movimentoeconomico.com.br/tag/ramal-do-apodi/
https://www.gov.br/mdr/pt-br/assuntos/seguranca-hidrica/projeto-sao-francisco
https://agenciagov.ebc.com.br/noticias/202505/lula-entrega-1o-trecho-do-ramal-do-apodi-201cagua-para-o-meu-povo-do-sertao201d</t>
        </is>
      </c>
      <c r="R33" s="12" t="inlineStr">
        <is>
          <t>Nordeste</t>
        </is>
      </c>
    </row>
    <row r="34">
      <c r="A34" s="21" t="inlineStr">
        <is>
          <t>PL06</t>
        </is>
      </c>
      <c r="B34" s="21" t="inlineStr">
        <is>
          <t>Lula</t>
        </is>
      </c>
      <c r="C34" s="21" t="inlineStr">
        <is>
          <t>Economia / Endividamento</t>
        </is>
      </c>
      <c r="D34" s="21" t="inlineStr">
        <is>
          <t>01:14</t>
        </is>
      </c>
      <c r="E34" s="21" t="inlineStr">
        <is>
          <t>Novo programa de dívidas: leilão de mais de R$ 50 bilhões para comprar dívidas das pessoas nos bancos com 90% a 95% de desconto e tirá-las do Serasa.</t>
        </is>
      </c>
      <c r="F34" s="31" t="n">
        <v>0.8</v>
      </c>
      <c r="G34" s="24">
        <f>IF(F34&gt;=0.7,"Alta",IF(F34&gt;=0.4,"Média","Baixa"))</f>
        <v/>
      </c>
      <c r="H34" s="21" t="inlineStr">
        <is>
          <t>Confirmei nas fontes oficiais e jornalísticas abertas que a medida já está em execução: há MP, portaria de chamamento publicada um dia antes do debate e leilão marcado para nov/dez de 2026. Os parâmetros (deságio de 90% a 95%, leilão de dezenas de bilhões e retirada do cadastro negativo) correspondem à fala. Boa parte da execução ocorre antes ou no início do mandato. Os riscos restantes são a conversão da MP e a continuidade orçamentária, ambos moderados. Ajustei de 78 para 80, porque a portaria de 22/10 reduz a incerteza sobre a operacionalização.</t>
        </is>
      </c>
      <c r="I34" s="21" t="inlineStr">
        <is>
          <t>O desembolso máximo da União é de R$ 9 bi, se comprar todos os R$ 90 bi em dívidas que os credores podem ofertar na 1ª etapa. Na estimativa do lançamento, o desembolso era de cerca de R$ 15 bi, sobre até R$ 150 bi em dívidas elegíveis e R$ 75 bi renegociados. O desconto mínimo é de 90%, e o governo pode exigir de 93% a 95% no leilão.</t>
        </is>
      </c>
      <c r="J34" s="21" t="inlineStr">
        <is>
          <t>O programa já está em execução. A MP do Desenrola 3.0 foi assinada em 25/09/2026 e altera a Lei 14.690/2023. A Portaria MF nº 3.127, de 22/10/2026, publicou o edital de chamamento, e o leilão está previsto para nov/dez de 2026. Pelo cronograma, a homologação ocorre em jan/2027 e os contratos começam em fev/2027. O custo fiscal, de R$ 9 bi a R$ 15 bi, é relevante, mas cabe no orçamento. O estoque de dívidas inadimplidas era de R$ 592 bi em ago/2026, e os credores têm interesse em vender carteiras antigas já provisionadas.</t>
        </is>
      </c>
      <c r="K34" s="21" t="inlineStr">
        <is>
          <t>O programa tem alcance nacional, com até 15 milhões de pessoas e dívidas de até R$ 10 mil vencidas entre 720 e 1.645 dias. O impacto tende a ser maior nas regiões e faixas de renda com mais inadimplência.</t>
        </is>
      </c>
      <c r="L34" s="21" t="inlineStr">
        <is>
          <t>A MP precisa ser convertida em lei. O prazo de 120 dias, com suspensão no recesso, deve vencer no início de 2027. Mesmo que a MP caduque, os atos praticados durante sua vigência tendem a ser preservados. O programa depende de dotação orçamentária, de regulamentação do parcelamento e da adesão dos credores ao deságio. Também pode haver questionamentos de órgãos de controle. Sobre o valor citado no debate: 'mais de R$ 50 bilhões' é compatível com os R$ 90 bi em valor nominal ofertáveis na 1ª etapa, então não há contradição.</t>
        </is>
      </c>
      <c r="M34" s="21" t="inlineStr">
        <is>
          <t>Alta</t>
        </is>
      </c>
      <c r="N34" s="29" t="n">
        <v>0.78</v>
      </c>
      <c r="O34" s="21" t="inlineStr">
        <is>
          <t>RECHECADO (2ª rodada). Abri as três reportagens da Agência Brasil, e todas confirmam o que o outro agente alegou: MP de 25/09/2026, Portaria nº 3.127 de 22/10/2026, teto de R$ 9 bi sobre R$ 90 bi e deságio mínimo de 90%. Ajustei de 78 para 80. O número da MP não aparece nas notícias. Não fiz novas buscas porque o orçamento de buscas da sessão se esgotou.</t>
        </is>
      </c>
      <c r="P34" s="21" t="inlineStr">
        <is>
          <t>https://agenciabrasil.ebc.com.br/economia/noticia/2026-09/governo-cria-terceira-fase-do-desenrola-com-compra-de-dividas-pela-uni
https://agenciabrasil.ebc.com.br/economia/noticia/2026-10/portaria-convoca-instituicoes-financeiras-para-3a-fase-do-desenrola
https://agenciabrasil.ebc.com.br/economia/noticia/2026-10/ministro-preve-renegociacao-de-r-90-bi-em-3a-fase-do-desenrola
https://agenciabrasil.ebc.com.br/economia/noticia/2026-05/novo-desenrola-comeca-valer-nesta-terca-feira</t>
        </is>
      </c>
      <c r="R34" s="12" t="inlineStr">
        <is>
          <t>Economia</t>
        </is>
      </c>
    </row>
    <row r="35">
      <c r="A35" s="21" t="inlineStr">
        <is>
          <t>PL07</t>
        </is>
      </c>
      <c r="B35" s="21" t="inlineStr">
        <is>
          <t>Lula</t>
        </is>
      </c>
      <c r="C35" s="21" t="inlineStr">
        <is>
          <t>Economia / Dívida pública</t>
        </is>
      </c>
      <c r="D35" s="21" t="inlineStr">
        <is>
          <t>01:01</t>
        </is>
      </c>
      <c r="E35" s="21" t="inlineStr">
        <is>
          <t>Reduzir a dívida pública em relação ao PIB por meio do crescimento econômico, sem teto de gastos ou 'tesouraço'.</t>
        </is>
      </c>
      <c r="F35" s="28" t="n">
        <v>0.2</v>
      </c>
      <c r="G35" s="25">
        <f>IF(F35&gt;=0.7,"Alta",IF(F35&gt;=0.4,"Média","Baixa"))</f>
        <v/>
      </c>
      <c r="H35" s="21" t="inlineStr">
        <is>
          <t>As projeções independentes mostram a dívida/PIB subindo. Uma queda até 2030 só aparece nos cenários oficiais do governo, que pressupõem ajuste primário relevante, e não apenas crescimento. Isso torna a promessa improvável.</t>
        </is>
      </c>
      <c r="I35" s="21" t="inlineStr">
        <is>
          <t>Não se aplica como custo. Estabilizar a dívida/PIB exigiria superávit primário estimado em cerca de 1,5% a 2% do PIB, contra déficits primários projetados pela IFI para 2026-2027.</t>
        </is>
      </c>
      <c r="J35" s="21" t="inlineStr">
        <is>
          <t>A IFI projeta a dívida bruta subindo em 2026-2027, com crescimento real perto de 2% e juros reais altos. As próprias projeções do Executivo nos PLDOs indicam pico da dívida por volta de 2028 e leve queda depois, mas com superávits crescentes que dependem de contenção de gastos.</t>
        </is>
      </c>
      <c r="K35" s="21" t="inlineStr">
        <is>
          <t>Nacional.</t>
        </is>
      </c>
      <c r="L35" s="21" t="inlineStr">
        <is>
          <t>Reduzir a dívida depende de juros menores e de superávits primários crescentes. Previdência, BPC e os pisos de saúde e educação crescem acima do PIB, e uma revisão dessas regras exige lei complementar ou PEC. A promessa recusa explicitamente o ajuste pelo lado da despesa.</t>
        </is>
      </c>
      <c r="M35" s="21" t="inlineStr">
        <is>
          <t>Média</t>
        </is>
      </c>
      <c r="N35" s="29" t="n">
        <v>0.18</v>
      </c>
      <c r="O35" s="21" t="inlineStr">
        <is>
          <t>Pequeno ajuste para cima (18 para 20). Os PLDOs do próprio Executivo projetam uma leve queda da dívida/PIB no fim da década, o que deixa uma pequena probabilidade de queda frente ao pico, e a análise original ignorou isso. A conclusão continua Baixa. Não consegui confirmar os números da IFI citados no original (82,5% e 86,4%) porque o orçamento de buscas acabou.</t>
        </is>
      </c>
      <c r="P35" s="21" t="inlineStr">
        <is>
          <t>https://www12.senado.leg.br/ifi</t>
        </is>
      </c>
      <c r="R35" s="12" t="inlineStr">
        <is>
          <t>Economia</t>
        </is>
      </c>
    </row>
    <row r="36">
      <c r="A36" s="21" t="inlineStr">
        <is>
          <t>PL08</t>
        </is>
      </c>
      <c r="B36" s="21" t="inlineStr">
        <is>
          <t>Lula</t>
        </is>
      </c>
      <c r="C36" s="21" t="inlineStr">
        <is>
          <t>Economia / Indústria</t>
        </is>
      </c>
      <c r="D36" s="21" t="inlineStr">
        <is>
          <t>01:03</t>
        </is>
      </c>
      <c r="E36" s="21" t="inlineStr">
        <is>
          <t>Manter o crescimento da economia acima de 3% ao ano com a Nova Indústria Brasil e mais crédito.</t>
        </is>
      </c>
      <c r="F36" s="28" t="n">
        <v>0.15</v>
      </c>
      <c r="G36" s="25">
        <f>IF(F36&gt;=0.7,"Alta",IF(F36&gt;=0.4,"Média","Baixa"))</f>
        <v/>
      </c>
      <c r="H36" s="21" t="inlineStr">
        <is>
          <t>Manter crescimento acima de 3% ao ano de 2027 a 2030 exige superar com folga o PIB potencial e as projeções oficiais por quatro anos seguidos, o que é improvável.</t>
        </is>
      </c>
      <c r="I36" s="21" t="inlineStr">
        <is>
          <t>A Nova Indústria Brasil prevê cerca de R$ 300 bi em financiamentos (BNDES, Finep e outros) até 2026, em grande parte crédito subsidiado. O custo de equalização para o Tesouro não foi confirmado.</t>
        </is>
      </c>
      <c r="J36" s="21" t="inlineStr">
        <is>
          <t>O PIB cresceu cerca de 3% em 2023 e 2024 e desacelerou a partir de 2025. As projeções oficiais e de mercado para 2026-2027 ficam perto de 2%, e o PIB potencial é estimado entre 2% e 2,5%. Expandir o crédito público com a Selic alta reduz a potência da política monetária.</t>
        </is>
      </c>
      <c r="K36" s="21" t="inlineStr">
        <is>
          <t>Nacional. A indústria de transformação está concentrada no Sul e no Sudeste, e o agro do Centro-Oeste, de peso volátil, foi decisivo nos anos de crescimento acima de 3%.</t>
        </is>
      </c>
      <c r="L36" s="21" t="inlineStr">
        <is>
          <t>A taxa de investimento está perto de 17% do PIB, os juros reais são altos, o espaço fiscal para subsídios é restrito e há dependência do cenário externo (commodities, China, tarifas dos EUA). Não depende de lei, mas foge do controle direto do governo.</t>
        </is>
      </c>
      <c r="M36" s="21" t="inlineStr">
        <is>
          <t>Média</t>
        </is>
      </c>
      <c r="N36" s="29" t="n">
        <v>0.15</v>
      </c>
      <c r="O36" s="21" t="inlineStr">
        <is>
          <t>Mantido em 15. O diagnóstico está correto e coerente com a régua usada no PL07. A avaliação continua limitada porque cita uma única fonte oficial genérica, e não consegui acrescentar outras porque o orçamento de buscas da sessão acabou.</t>
        </is>
      </c>
      <c r="P36" s="21" t="inlineStr">
        <is>
          <t>https://www12.senado.leg.br/ifi</t>
        </is>
      </c>
      <c r="R36" s="12" t="inlineStr">
        <is>
          <t>Economia</t>
        </is>
      </c>
    </row>
    <row r="37">
      <c r="A37" s="21" t="inlineStr">
        <is>
          <t>PL09</t>
        </is>
      </c>
      <c r="B37" s="21" t="inlineStr">
        <is>
          <t>Lula</t>
        </is>
      </c>
      <c r="C37" s="21" t="inlineStr">
        <is>
          <t>Educação</t>
        </is>
      </c>
      <c r="D37" s="21" t="inlineStr">
        <is>
          <t>01:20</t>
        </is>
      </c>
      <c r="E37" s="21" t="inlineStr">
        <is>
          <t>Chegar a 100% das escolas em tempo integral até o ensino médio no próximo mandato.</t>
        </is>
      </c>
      <c r="F37" s="28" t="n">
        <v>0.11</v>
      </c>
      <c r="G37" s="25">
        <f>IF(F37&gt;=0.7,"Alta",IF(F37&gt;=0.4,"Média","Baixa"))</f>
        <v/>
      </c>
      <c r="H37" s="21" t="inlineStr">
        <is>
          <t>Universalizar em um mandato não tem precedente: o país não cumpriu nem a meta de 50% das escolas do PNE anterior. A promessa depende de entes subnacionais e de custeio permanente sem espaço fiscal. Avanço parcial é provável, os 100% não.</t>
        </is>
      </c>
      <c r="I37" s="21" t="inlineStr">
        <is>
          <t>Não estimável com precisão. Ordem de grandeza: dezenas de bilhões de reais por ano em custeio permanente (pessoal, alimentação, transporte) mais investimento em infraestrutura para cerca de 178 mil escolas. O Programa Escola em Tempo Integral (Lei 14.640/2023) induz com alguns bilhões por ano, valor bem abaixo do necessário.</t>
        </is>
      </c>
      <c r="J37" s="21" t="inlineStr">
        <is>
          <t>O arcabouço fiscal (LC 200/2023) limita o crescimento real da despesa a 70% da alta da receita (teto de 2,5% ao ano), e as despesas discricionárias de 2027 estão comprimidas. O custeio permanente recai sobre estados e municípios, que dependem do Fundeb e da complementação da União.</t>
        </is>
      </c>
      <c r="K37" s="21" t="inlineStr">
        <is>
          <t>Nacional, com gargalos maiores no Norte e no Nordeste: escolas rurais e multisseriadas pequenas, falta de refeitórios e quadras e déficit de professores. A fatia de matrículas públicas em tempo integral ainda fica bem abaixo de um terço.</t>
        </is>
      </c>
      <c r="L37" s="21" t="inlineStr">
        <is>
          <t>O ensino médio é competência dos estados e o fundamental dos municípios, e a adesão é voluntária. A União só induz com recursos. A meta 6 do PNE 2014-2024 (50% das escolas e 25% das matrículas) não foi cumprida. Universalizar exige obras, concursos e reorganização das redes em 4 anos.</t>
        </is>
      </c>
      <c r="M37" s="21" t="inlineStr">
        <is>
          <t>Média</t>
        </is>
      </c>
      <c r="N37" s="29" t="n">
        <v>0.12</v>
      </c>
      <c r="O37" s="21" t="inlineStr">
        <is>
          <t>Confirmo o diagnóstico e reduzo 1 ponto, porque a literalidade de '100% das escolas' é ainda mais exigente que a meta não cumprida do PNE. As fontes do original são oficiais e válidas. Ressalva: a cota de buscas web da sessão acabou, e as páginas do MEC devolveram CAPTCHA, então não consegui atualizar o percentual do Censo 2025. A revisão se apoia em dados legais e históricos já conhecidos.</t>
        </is>
      </c>
      <c r="P37" s="21" t="inlineStr">
        <is>
          <t>https://www.planalto.gov.br/ccivil_03/_ato2023-2026/2023/lei/L14640.htm
https://www.planalto.gov.br/ccivil_03/leis/lcp/lcp200.htm
https://www.gov.br/inep/pt-br/areas-de-atuacao/pesquisas-estatisticas-e-indicadores/censo-escolar
https://www.gov.br/mec/pt-br/escola-em-tempo-integral</t>
        </is>
      </c>
      <c r="R37" s="12" t="inlineStr">
        <is>
          <t>Educação</t>
        </is>
      </c>
    </row>
    <row r="38">
      <c r="A38" s="21" t="inlineStr">
        <is>
          <t>PL10</t>
        </is>
      </c>
      <c r="B38" s="21" t="inlineStr">
        <is>
          <t>Lula</t>
        </is>
      </c>
      <c r="C38" s="21" t="inlineStr">
        <is>
          <t>Educação</t>
        </is>
      </c>
      <c r="D38" s="21" t="inlineStr">
        <is>
          <t>01:20</t>
        </is>
      </c>
      <c r="E38" s="21" t="inlineStr">
        <is>
          <t>Universalizar o Pé-de-Meia no ensino médio e estendê-lo à universidade.</t>
        </is>
      </c>
      <c r="F38" s="28" t="n">
        <v>0.2</v>
      </c>
      <c r="G38" s="25">
        <f>IF(F38&gt;=0.7,"Alta",IF(F38&gt;=0.4,"Média","Baixa"))</f>
        <v/>
      </c>
      <c r="H38" s="21" t="inlineStr">
        <is>
          <t>Juridicamente é simples e a execução já existe, mas universalizar quase dobra o custo sob um arcabouço apertado. Uma extensão parcial à universidade é plausível. A promessa completa, universalização mais universidade, é improvável.</t>
        </is>
      </c>
      <c r="I38" s="21" t="inlineStr">
        <is>
          <t>Hoje são cerca de R$ 12 bilhões por ano para cerca de 4 milhões de alunos. Universalizar para toda a rede pública de ensino médio (aproximadamente 6,5 a 7 milhões de matrículas, pelo Censo Escolar) custaria cerca de R$ 20 a 23 bilhões por ano. A extensão ao ensino superior acrescentaria alguns bilhões, conforme o desenho. Estimativa própria a partir do valor por aluno.</t>
        </is>
      </c>
      <c r="J38" s="21" t="inlineStr">
        <is>
          <t>Depois que o TCU questionou em 2025 o financiamento por fundo fora do orçamento (Fipem), o programa passou para a LOA e disputa espaço sob o limite do arcabouço. Quase dobrar o custo exigiria cortes em outras discricionárias ou receita nova, com a dívida bruta em trajetória de alta.</t>
        </is>
      </c>
      <c r="K38" s="21" t="inlineStr">
        <is>
          <t>Nacional. O impacto proporcional é maior no Norte e no Nordeste, onde a evasão no ensino médio e a parcela de alunos no CadÚnico são mais altas.</t>
        </is>
      </c>
      <c r="L38" s="21" t="inlineStr">
        <is>
          <t>Basta lei ordinária (Lei 14.818/2024) e a execução é da União, então não há barreira federativa. O obstáculo central é fiscal e orçamentário. Já existe uma versão para estudantes de licenciatura (Pé-de-Meia Licenciaturas), o que torna plausível uma extensão parcial ao ensino superior, mas não a universalização.</t>
        </is>
      </c>
      <c r="M38" s="21" t="inlineStr">
        <is>
          <t>Média</t>
        </is>
      </c>
      <c r="N38" s="29" t="n">
        <v>0.22</v>
      </c>
      <c r="O38" s="21" t="inlineStr">
        <is>
          <t>Corrigi a base de matrículas públicas do ensino médio, que o original superestimou (7 a 7,5 milhões, quando é perto de 6,5 a 7 milhões). Mesmo assim, a promessa é dupla, universalizar e estender, e o custo fica perto do dobro. Reduzi 2 pontos. A Agência Brasil confirma que o programa segue pagando parcelas em outubro de 2026. Não consegui buscar o valor da PLOA 2027 porque a cota de buscas acabou.</t>
        </is>
      </c>
      <c r="P38" s="21" t="inlineStr">
        <is>
          <t>https://www.planalto.gov.br/ccivil_03/_ato2023-2026/2024/lei/L14818.htm
https://www.gov.br/mec/pt-br/pe-de-meia
https://agenciabrasil.ebc.com.br/educacao
https://portal.tcu.gov.br/</t>
        </is>
      </c>
      <c r="R38" s="12" t="inlineStr">
        <is>
          <t>Educação</t>
        </is>
      </c>
    </row>
    <row r="39">
      <c r="A39" s="21" t="inlineStr">
        <is>
          <t>PL11</t>
        </is>
      </c>
      <c r="B39" s="21" t="inlineStr">
        <is>
          <t>Lula</t>
        </is>
      </c>
      <c r="C39" s="21" t="inlineStr">
        <is>
          <t>Apostas</t>
        </is>
      </c>
      <c r="D39" s="21" t="inlineStr">
        <is>
          <t>01:16</t>
        </is>
      </c>
      <c r="E39" s="21" t="inlineStr">
        <is>
          <t>Acabar com as bets (apostas online).</t>
        </is>
      </c>
      <c r="F39" s="30" t="n">
        <v>0.45</v>
      </c>
      <c r="G39" s="23">
        <f>IF(F39&gt;=0.7,"Alta",IF(F39&gt;=0.4,"Média","Baixa"))</f>
        <v/>
      </c>
      <c r="H39" s="21" t="inlineStr">
        <is>
          <t>A proibição já está em vigor. A MP 1.394/2026, de 25/09/2026, proíbe as apostas de quota fixa, e o cronograma previa a saída dos sites do ar a partir de 6/10/2026. Para durar até 2030, a MP precisa ser convertida em lei dentro do prazo constitucional, resistir no STF (pedido da ANJL e do IBJR nas ADIs 7.721, 7.723 e 7.749, relator Fux) e funcionar contra o mercado ilegal. As fontes permitidas sustentam a nota.</t>
        </is>
      </c>
      <c r="I39" s="21" t="inlineStr">
        <is>
          <t>A perda de arrecadação é de vários bilhões de reais por ano. Somam-se o risco de ações pelas outorgas, que totalizam R$ 2,55 bilhões, e o custo de fiscalizar e bloquear sites ilegais.</t>
        </is>
      </c>
      <c r="J39" s="21" t="inlineStr">
        <is>
          <t>Segundo o Diário de Pernambuco, a MP extingue 85 autorizações de R$ 30 milhões cada (R$ 2,55 bilhões) sem devolução. O governo cita uma estimativa de custo social de R$ 38,8 bilhões, feita pelo Instituto de Estudos para Políticas de Saúde, e o ministro Durigan disse que a arrecadação nunca foi o tema central. O governo abre mão da tributação do setor. As entidades apontam ausência de estimativa de impacto fiscal e risco de migração para o mercado clandestino.</t>
        </is>
      </c>
      <c r="K39" s="21" t="inlineStr">
        <is>
          <t>O efeito é nacional. Segundo o Diário do Nordeste, a MP também extingue as autorizações estaduais e distritais para apostas, o que deve gerar atrito com os estados. Os dados do BCB sobre beneficiários do Bolsa Família não foram detalhados e ficam como contexto.</t>
        </is>
      </c>
      <c r="L39" s="21" t="inlineStr">
        <is>
          <t>A conversão da MP em lei depende do Congresso dentro do prazo constitucional. Angelo Coronel (Republicanos-BA), relator no Senado do projeto sobre bets, quer retomar o tema só depois das eleições. O setor faz lobby forte e há o pedido de suspensão no STF. Pode haver disputa com os estados, e o bloqueio técnico de sites estrangeiros é limitado.</t>
        </is>
      </c>
      <c r="M39" s="21" t="inlineStr">
        <is>
          <t>Média</t>
        </is>
      </c>
      <c r="N39" s="29" t="n">
        <v>0.45</v>
      </c>
      <c r="O39" s="21" t="inlineStr">
        <is>
          <t>REAVALIADO SEM FONTES ENVIESADAS. A viabilidade não mudou. Saiu a Gazeta do Povo. Os fatos foram reconfirmados nas três matérias permitidas. Ajustei a afirmação de que 'os sites saíram do ar em 6/10', que nas fontes aparece como cronograma previsto, e retirei as ADPFs 492/493, que não foram confirmadas. Revisor: Não há dado de fonte excluída. Cada detalhe se apoia em pelo menos uma fonte permitida. O Diário de Pernambuco confirma as 85 outorgas, os R$ 2,55 bilhões, Coronel, os R$ 38,8 bilhões e Durigan. O Diário do Nordeste confirma a extinção das autorizações estaduais e distritais e o cronograma de 6/10. O Congresso em Foco confirma as ADIs e Fux. A Lei 14.790 e a página da SPA foram mantidas como referência normativa.</t>
        </is>
      </c>
      <c r="P39" s="21" t="inlineStr">
        <is>
          <t>https://www.diariodepernambuco.com.br/politica/2026/09/11725131-associacoes-de-bets-pedem-ao-stf-a-suspensao-da-mp-que-proibe-apostas-on-line.html
https://www.congressoemfoco.com.br/noticia/122611/setor-de-apostas-pede-ao-stf-que-suspenda-mp-de-lula-contra-bets
https://diariodonordeste.verdesmares.com.br/negocios/entidades-de-bets-pedem-ao-stf-suspensao-de-medida-que-proibe-apostas-online-1.3794646
https://www.planalto.gov.br/ccivil_03/_ato2023-2026/2023/lei/l14790.htm</t>
        </is>
      </c>
      <c r="R39" s="12" t="inlineStr">
        <is>
          <t>Apostas</t>
        </is>
      </c>
    </row>
    <row r="40">
      <c r="A40" s="21" t="inlineStr">
        <is>
          <t>PL12</t>
        </is>
      </c>
      <c r="B40" s="21" t="inlineStr">
        <is>
          <t>Lula</t>
        </is>
      </c>
      <c r="C40" s="21" t="inlineStr">
        <is>
          <t>Segurança</t>
        </is>
      </c>
      <c r="D40" s="21" t="inlineStr">
        <is>
          <t>01:30</t>
        </is>
      </c>
      <c r="E40" s="21" t="inlineStr">
        <is>
          <t>Com a PEC da Segurança aprovada, criar o Ministério da Segurança Pública e fortalecer PF e PRF contra milícias e narcotráfico.</t>
        </is>
      </c>
      <c r="F40" s="30" t="n">
        <v>0.63</v>
      </c>
      <c r="G40" s="23">
        <f>IF(F40&gt;=0.7,"Alta",IF(F40&gt;=0.4,"Média","Baixa"))</f>
        <v/>
      </c>
      <c r="H40" s="21" t="inlineStr">
        <is>
          <t>As fontes abertas confirmam o quadro do outro agente. A criação do ministério é a parte mais simples: pode ser feita por MP, há o precedente de 2018 e ela nem depende juridicamente da PEC. Mas Lula condicionou a promessa à aprovação da PEC, que está travada no plenário do Senado e exige 49 votos. Se o tema da maioridade penal entrar no texto, a PEC volta à Câmara. Até 2030, a aprovação de alguma versão é provável, dado o amplo apoio na Câmara. O fortalecimento de PF e PRF esbarra no espaço fiscal para pessoal. Ajustei levemente de 65 para 63 pela incerteza do Senado na nova legislatura.</t>
        </is>
      </c>
      <c r="I40" s="21" t="inlineStr">
        <is>
          <t>Criar o ministério por desmembramento do MJSP tem custo administrativo baixo, de centenas de milhões de reais por ano. Fortalecer a PF e a PRF, com concursos, equipamentos e inteligência, exige alguns bilhões ao longo do mandato. A PEC destina 10% do superávit anual do Fundo Social (pré-sal) aos fundos de segurança, e 50% do FNSP e do Funpen vão para estados e municípios.</t>
        </is>
      </c>
      <c r="J40" s="21" t="inlineStr">
        <is>
          <t>Despesa com pessoal é obrigatória e pressiona os limites do arcabouço fiscal. As vinculações previstas na PEC aliviam parte do custo, mas metade dos recursos é repassada aos entes subnacionais.</t>
        </is>
      </c>
      <c r="K40" s="21" t="inlineStr">
        <is>
          <t>A segurança pública é competência principalmente dos estados. A PEC constitucionaliza o SUSP (art. 144-A, cooperação federativa), amplia as atribuições da PRF, permite polícias municipais e endurece o regime de chefes de facções e milícias. O impacto é maior no RJ, no CE, na BA, no AM e nas fronteiras. Governadores resistem a perder autonomia.</t>
        </is>
      </c>
      <c r="L40" s="21" t="inlineStr">
        <is>
          <t>A PEC 18/2025 passou pela Câmara e foi aprovada na CCJ do Senado sem alterações em 14/10/2026. Em 15/10, Alcolumbre a retirou da pauta do plenário, sem nova data, por falta de acordo sobre cinco emendas, duas delas sobre redução da maioridade penal. Se for aprovada sem alterações, será promulgada; se mudar, volta à Câmara. A PEC não cria o ministério, que depende de MP ou lei. 'Fortalecer PF e PRF' é vago e depende de orçamento.</t>
        </is>
      </c>
      <c r="M40" s="21" t="inlineStr">
        <is>
          <t>Média</t>
        </is>
      </c>
      <c r="N40" s="29" t="n">
        <v>0.65</v>
      </c>
      <c r="O40" s="21" t="inlineStr">
        <is>
          <t>RECHECADO (2ª rodada). Abri as reportagens da Agência Brasil sobre a CCJ (14/10/2026) e sobre a retirada da pauta (15/10/2026), que confirmam o que o outro agente alegou. Elas confirmam também que a PEC não cria o ministério. Ajustei de 65 para 63. Não consegui buscar notícias posteriores a 15/10 porque o orçamento de buscas da sessão se esgotou.</t>
        </is>
      </c>
      <c r="P40" s="21" t="inlineStr">
        <is>
          <t>https://agenciabrasil.ebc.com.br/politica/noticia/2026-10/alcolumbre-retira-pec-da-seguranca-publica-da-pauta-do-senado
https://agenciabrasil.ebc.com.br/geral/noticia/2026-10/ccj-do-senado-conclui-votacao-da-pec-da-seguranca-publica
https://agenciabrasil.ebc.com.br/politica/noticia/2026-10/senadores-aprovam-pedido-para-acelerar-votacao-da-pec-da-seguranca
https://agenciabrasil.ebc.com.br/politica/noticia/2026-03/camara-aprova-em-segundo-turno-pec-da-seguranca-publica</t>
        </is>
      </c>
      <c r="R40" s="12" t="inlineStr">
        <is>
          <t>Segurança</t>
        </is>
      </c>
    </row>
    <row r="41">
      <c r="A41" s="21" t="inlineStr">
        <is>
          <t>PL13</t>
        </is>
      </c>
      <c r="B41" s="21" t="inlineStr">
        <is>
          <t>Lula</t>
        </is>
      </c>
      <c r="C41" s="21" t="inlineStr">
        <is>
          <t>Norte / Meio ambiente</t>
        </is>
      </c>
      <c r="D41" s="21" t="inlineStr">
        <is>
          <t>00:38</t>
        </is>
      </c>
      <c r="E41" s="21" t="inlineStr">
        <is>
          <t>Ampliar a economia verde e o Fundo Amazônia, gerando mais renda com a floresta em pé e protegendo terras indígenas.</t>
        </is>
      </c>
      <c r="F41" s="30" t="n">
        <v>0.6</v>
      </c>
      <c r="G41" s="23">
        <f>IF(F41&gt;=0.7,"Alta",IF(F41&gt;=0.4,"Média","Baixa"))</f>
        <v/>
      </c>
      <c r="H41" s="21" t="inlineStr">
        <is>
          <t>A meta é vaga e já está em curso, com financiamento externo e baixo custo fiscal, o que favorece o cumprimento ao menos parcial. Os limites são a execução lenta, a dependência de doadores e o conflito político sobre terras indígenas.</t>
        </is>
      </c>
      <c r="I41" s="21" t="inlineStr">
        <is>
          <t>Os recursos são majoritariamente de doações não reembolsáveis. O portal do Fundo Amazônia, consultado nesta revisão, mostra R$ 5,97 bilhões aprovados e R$ 2,93 bilhões desembolsados em 156 projetos. O impacto no Tesouro é baixo.</t>
        </is>
      </c>
      <c r="J41" s="21" t="inlineStr">
        <is>
          <t>O Fundo foi reativado em 2023 com novos doadores, e o TFFF foi lançado na COP30 em Belém, em 2025. A queda do desmatamento pelo Prodes favorece a captação. A execução é lenta: o desembolsado é cerca de 49% do aprovado.</t>
        </is>
      </c>
      <c r="K41" s="21" t="inlineStr">
        <is>
          <t>Amazônia Legal: renda per capita abaixo da média nacional, pressão do garimpo ilegal, da grilagem e da pecuária. A bioeconomia ainda é pequena diante da agropecuária regional.</t>
        </is>
      </c>
      <c r="L41" s="21" t="inlineStr">
        <is>
          <t>Depende de doadores externos (os EUA recuaram em 2025), da capacidade de execução de estados e ONGs, do conflito sobre o marco temporal (Lei 14.701/2023 e STF), do ritmo lento das demarcações e de um Congresso com forte bancada ruralista.</t>
        </is>
      </c>
      <c r="M41" s="21" t="inlineStr">
        <is>
          <t>Média</t>
        </is>
      </c>
      <c r="N41" s="29" t="n">
        <v>0.6</v>
      </c>
      <c r="O41" s="21" t="inlineStr">
        <is>
          <t>Confirmei no portal oficial os números do Fundo citados pelo original (R$ 5,97 bi aprovados, R$ 2,93 bi desembolsados, 156 projetos). Mantenho 60%: é uma meta vaga de 'ampliar', com mecanismo já existente e custo fiscal baixo, e uso a mesma régua que nas promessas genéricas do adversário. Não consegui atualizar dados de novos aportes em 2026 porque a cota de buscas acabou.</t>
        </is>
      </c>
      <c r="P41" s="21" t="inlineStr">
        <is>
          <t>https://www.fundoamazonia.gov.br/pt/home/
http://terrabrasilis.dpi.inpe.br/
https://www.bndes.gov.br/
https://www.planalto.gov.br/ccivil_03/_ato2023-2026/2023/lei/L14701.htm</t>
        </is>
      </c>
      <c r="R41" s="12" t="inlineStr">
        <is>
          <t>Norte</t>
        </is>
      </c>
    </row>
  </sheetData>
  <autoFilter ref="A1:P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60" customWidth="1" min="3" max="3"/>
    <col width="18" customWidth="1" min="4" max="4"/>
    <col width="80" customWidth="1" min="5" max="5"/>
  </cols>
  <sheetData>
    <row r="1">
      <c r="A1" s="3" t="inlineStr">
        <is>
          <t>ID</t>
        </is>
      </c>
      <c r="B1" s="3" t="inlineStr">
        <is>
          <t>Candidato</t>
        </is>
      </c>
      <c r="C1" s="3" t="inlineStr">
        <is>
          <t>Declaração</t>
        </is>
      </c>
      <c r="D1" s="3" t="inlineStr">
        <is>
          <t>Veredito</t>
        </is>
      </c>
      <c r="E1" s="3" t="inlineStr">
        <is>
          <t>Por quê</t>
        </is>
      </c>
    </row>
    <row r="2">
      <c r="A2" s="21" t="inlineStr">
        <is>
          <t>F03</t>
        </is>
      </c>
      <c r="B2" s="21" t="inlineStr">
        <is>
          <t>Flávio</t>
        </is>
      </c>
      <c r="C2" s="21" t="inlineStr">
        <is>
          <t>Regra do governo Bolsonaro garante pedágio zero para motociclistas em todas as novas concessões federais de rodovias.</t>
        </is>
      </c>
      <c r="D2" s="32" t="inlineStr">
        <is>
          <t>Exagerado</t>
        </is>
      </c>
      <c r="E2" s="21" t="inlineStr">
        <is>
          <t>A Portaria 104/2021 do Ministério da Infraestrutura fixou como diretriz a isenção de pedágio para motos nos editais de 11 rodovias federais então em licitação, como Dutra, Fernão Dias e BR-040. Não é uma regra que garanta a isenção em todas as novas concessões federais: cada contrato define a questão separadamente. A ideia de valer para todas foi uma promessa de Bolsonaro.</t>
        </is>
      </c>
    </row>
    <row r="3">
      <c r="A3" s="21" t="inlineStr">
        <is>
          <t>F07</t>
        </is>
      </c>
      <c r="B3" s="21" t="inlineStr">
        <is>
          <t>Flávio</t>
        </is>
      </c>
      <c r="C3" s="21" t="inlineStr">
        <is>
          <t>Foi Bolsonaro que estabeleceu o benefício mínimo de R$ 600 do Bolsa Família/Auxílio Brasil.</t>
        </is>
      </c>
      <c r="D3" s="32" t="inlineStr">
        <is>
          <t>Exagerado</t>
        </is>
      </c>
      <c r="E3" s="21" t="inlineStr">
        <is>
          <t>O governo Bolsonaro pagou o Auxílio Brasil de R$ 600 em 2022. O valor veio de um acréscimo temporário de R$ 200, aprovado pela chamada PEC das Bondades (ou PEC Kamikaze), que valia só até dezembro de 2022. Sem nova medida, o benefício voltaria a R$ 400 em janeiro de 2023. A manutenção dos R$ 600 em 2023 veio da PEC articulada pela equipe de transição de Lula, que ampliou o teto de gastos. O piso de R$ 600 por família, garantido por complementação, foi fixado pela Lei 14.601/2023, que recriou o Bolsa Família. Bolsonaro de fato pagou R$ 600, mas de forma temporária, e não estabeleceu o piso permanente.</t>
        </is>
      </c>
    </row>
    <row r="4">
      <c r="A4" s="21" t="inlineStr">
        <is>
          <t>F08</t>
        </is>
      </c>
      <c r="B4" s="21" t="inlineStr">
        <is>
          <t>Flávio</t>
        </is>
      </c>
      <c r="C4" s="21" t="inlineStr">
        <is>
          <t>Reduflação no governo Lula: dúzia de ovos virou caixa com 10, sabão em pó de 1 kg virou 800 g, barra de chocolate de 120 g virou 80 g, rolo de papel higiênico de 40 m virou 20 m.</t>
        </is>
      </c>
      <c r="D4" s="32" t="inlineStr">
        <is>
          <t>Exagerado</t>
        </is>
      </c>
      <c r="E4" s="21" t="inlineStr">
        <is>
          <t>A reduflação existe no Brasil e há casos documentados de caixas de ovos com 10 unidades, sabão em pó de 800 g e papel higiênico com menos metros. Mas é uma prática da indústria, anterior ao atual governo e que não resulta de política federal. Não encontrei os números exatos citados (chocolate de 120 g para 80 g, papel higiênico de 40 m para 20 m) como tendência geral.</t>
        </is>
      </c>
    </row>
    <row r="5">
      <c r="A5" s="21" t="inlineStr">
        <is>
          <t>F11</t>
        </is>
      </c>
      <c r="B5" s="21" t="inlineStr">
        <is>
          <t>Flávio</t>
        </is>
      </c>
      <c r="C5" s="21" t="inlineStr">
        <is>
          <t>Os juros reais do crédito do Plano Safra chegam perto de 20%, e o governo Lula contingencia recursos do seguro rural e do Plano Safra.</t>
        </is>
      </c>
      <c r="D5" s="32" t="inlineStr">
        <is>
          <t>Exagerado</t>
        </is>
      </c>
      <c r="E5" s="21" t="inlineStr">
        <is>
          <t>O bloqueio de recursos do seguro rural (PSR) em 2026 foi noticiado. Já os juros das linhas oficiais do Plano Safra 2026/27 estão bem abaixo de 20%: o Pronamp tem teto de 9% ao ano e o Pronaf é ainda mais barato. Descontada a inflação, o juro real das linhas equalizadas fica muito longe de 20%.</t>
        </is>
      </c>
    </row>
    <row r="6">
      <c r="A6" s="21" t="inlineStr">
        <is>
          <t>F13</t>
        </is>
      </c>
      <c r="B6" s="21" t="inlineStr">
        <is>
          <t>Flávio</t>
        </is>
      </c>
      <c r="C6" s="21" t="inlineStr">
        <is>
          <t>Lula já gastou mais de R$ 400 bilhões para tentar se reeleger (medidas não previstas no orçamento).</t>
        </is>
      </c>
      <c r="D6" s="32" t="inlineStr">
        <is>
          <t>Exagerado</t>
        </is>
      </c>
      <c r="E6" s="21" t="inlineStr">
        <is>
          <t>O Poder360 somou "ao menos R$ 403,2 bilhões" em programas sociais em 2026. A reportagem detalha só uma parte desse total: Bolsa Família (R$ 158,6 bilhões), Farmácia Popular (R$ 6 bilhões) e Gás do Povo (R$ 4,7 bilhões). Sobre o Gás do Povo, o texto diz que o valor está "reservado no Orçamento de 2026". Bolsa Família e Farmácia Popular são programas antigos que o governo retomou, não medidas improvisadas. Por isso, não se sustenta dizer que os R$ 400 bilhões foram gastos em medidas fora do orçamento, nem atribuir todo o valor ao esforço de reeleição. O número em si existe, mas foi apresentado de forma exagerada.</t>
        </is>
      </c>
    </row>
    <row r="7">
      <c r="A7" s="21" t="inlineStr">
        <is>
          <t>F14</t>
        </is>
      </c>
      <c r="B7" s="21" t="inlineStr">
        <is>
          <t>Flávio</t>
        </is>
      </c>
      <c r="C7" s="21" t="inlineStr">
        <is>
          <t>Nas enchentes de 2024 no RS, Lula não entregou nem 30% do que prometeu.</t>
        </is>
      </c>
      <c r="D7" s="33" t="inlineStr">
        <is>
          <t>Falso</t>
        </is>
      </c>
      <c r="E7" s="21" t="inlineStr">
        <is>
          <t>Segundo o Correio da Manhã (maio de 2026), cerca de R$ 90 bilhões federais já foram usados pelo RS e pelos municípios gaúchos na reconstrução, o equivalente a 94% do previsto no Auxílio Reconstrução. A ministra da Casa Civil, Miriam Belchior, disse que a meta é chegar a 100%. Já no fim de maio de 2024, segundo o InfoMoney, cerca de 57% estava pago em emendas parlamentares (R$ 743 milhões de R$ 1,3 bilhão) e em recursos da Defesa Civil (R$ 176 milhões de R$ 310 milhões). O problema real são os atrasos: o TCU (Acórdão 2470/2025) apontou demora no repasse de recursos e na entrega de obras municipais. Mesmo assim, nenhum dado indica entrega abaixo de 30% do prometido.</t>
        </is>
      </c>
    </row>
    <row r="8">
      <c r="A8" s="21" t="inlineStr">
        <is>
          <t>F16</t>
        </is>
      </c>
      <c r="B8" s="21" t="inlineStr">
        <is>
          <t>Flávio</t>
        </is>
      </c>
      <c r="C8" s="21" t="inlineStr">
        <is>
          <t>Por causa do atual governo, a meta de universalização do saneamento já foi empurrada para depois de 2050.</t>
        </is>
      </c>
      <c r="D8" s="33" t="inlineStr">
        <is>
          <t>Falso</t>
        </is>
      </c>
      <c r="E8" s="21" t="inlineStr">
        <is>
          <t>A meta legal de universalização continua em 2033. A proposta de adiá-la para 2040 é um projeto do deputado Amom Mandel (Cidadania-AM), e o ministro das Cidades, Jader Filho, disse ser 'absolutamente contrário' à prorrogação (Poder360, 06/06/2025). Existem projeções de que, no ritmo atual de investimento, a universalização só ocorreria depois de 2050. Mas são estimativas, algumas anteriores ao governo atual, e não uma mudança de meta feita pelo governo.</t>
        </is>
      </c>
    </row>
    <row r="9">
      <c r="A9" s="21" t="inlineStr">
        <is>
          <t>F19</t>
        </is>
      </c>
      <c r="B9" s="21" t="inlineStr">
        <is>
          <t>Flávio</t>
        </is>
      </c>
      <c r="C9" s="21" t="inlineStr">
        <is>
          <t>Lula prometeu entregar a transposição do São Francisco até 2009 e depois até 2014 e não entregou; foi Bolsonaro quem concluiu as obras e fez a água chegar ao Nordeste.</t>
        </is>
      </c>
      <c r="D9" s="32" t="inlineStr">
        <is>
          <t>Exagerado</t>
        </is>
      </c>
      <c r="E9" s="21" t="inlineStr">
        <is>
          <t>A obra começou em 2007 e 2008, no segundo mandato de Lula. A promessa original de conclusão era 2012, e os prazos foram descumpridos várias vezes nos governos do PT. Segundo o Poder360, os governos do PT investiram R$ 8,3 bilhões de um total de R$ 14,6 bilhões. Temer investiu R$ 2,8 bilhões e inaugurou a pré-operação do Eixo Leste em 2017, com água chegando à Paraíba e a Pernambuco. Bolsonaro investiu R$ 3,5 bilhões e concluiu e inaugurou trechos do Eixo Norte entre 2020 e 2022. Os eixos principais ficaram prontos em 2021, mas ramais seguiam inacabados.</t>
        </is>
      </c>
    </row>
    <row r="10">
      <c r="A10" s="21" t="inlineStr">
        <is>
          <t>F25</t>
        </is>
      </c>
      <c r="B10" s="21" t="inlineStr">
        <is>
          <t>Flávio</t>
        </is>
      </c>
      <c r="C10" s="21" t="inlineStr">
        <is>
          <t>Tarcísio, Ricardo Nunes e Derrite acabaram com a Cracolândia em São Paulo.</t>
        </is>
      </c>
      <c r="D10" s="32" t="inlineStr">
        <is>
          <t>Exagerado</t>
        </is>
      </c>
      <c r="E10" s="21" t="inlineStr">
        <is>
          <t>Em maio de 2025, a Rua dos Protestantes, onde ficava a principal concentração de usuários, amanheceu vazia (B News SP, 15/05/2025). Em novembro de 2025, Tarcísio escreveu que 'a cracolândia acabou'. Segundo o Jornal de Brasília, que reproduz a Folhapress (19/11/2025), outras aglomerações de usuários surgiram no centro depois disso. O próprio Ricardo Nunes admitiu: 'Não dá para dizer que a gente resolveu todo o problema'. A reportagem lembra ainda que as dispersões de 2012 e 2022 apenas criaram 'minicracolândias' em outros pontos. A queda foi real, mas dizer que eles 'acabaram' com a Cracolândia exagera. Nenhuma das fontes consultadas cita declaração de Derrite.</t>
        </is>
      </c>
    </row>
    <row r="11">
      <c r="A11" s="21" t="inlineStr">
        <is>
          <t>F29</t>
        </is>
      </c>
      <c r="B11" s="21" t="inlineStr">
        <is>
          <t>Flávio</t>
        </is>
      </c>
      <c r="C11" s="21" t="inlineStr">
        <is>
          <t>Após o 1º turno, com Flávio à frente nas pesquisas do 2º turno, a taxa de juros futuros caiu cerca de 2 pontos.</t>
        </is>
      </c>
      <c r="D11" s="32" t="inlineStr">
        <is>
          <t>Exagerado</t>
        </is>
      </c>
      <c r="E11" s="21" t="inlineStr">
        <is>
          <t>Os juros futuros caíram de fato depois do 1º turno, e o mercado associou o movimento ao 'trade eleitoral' a favor de Flávio. O DI para janeiro de 2029 foi de cerca de 13,7% antes da eleição para 12,22% em 9/10, uma queda de no máximo 1,5 ponto. Houve repique em 13/10 (12,22% para 12,50%) e a taxa estava em 12,58% em 20/10. A queda acumulada fica entre 1 e 1,5 ponto, não 2, e teve outros fatores: leilão do Tesouro, Treasuries e petróleo.</t>
        </is>
      </c>
    </row>
    <row r="12">
      <c r="A12" s="21" t="inlineStr">
        <is>
          <t>F30</t>
        </is>
      </c>
      <c r="B12" s="21" t="inlineStr">
        <is>
          <t>Flávio</t>
        </is>
      </c>
      <c r="C12" s="21" t="inlineStr">
        <is>
          <t>Lula criou ou aumentou mais de 30 impostos.</t>
        </is>
      </c>
      <c r="D12" s="32" t="inlineStr">
        <is>
          <t>Exagerado</t>
        </is>
      </c>
      <c r="E12" s="21" t="inlineStr">
        <is>
          <t>O Poder360 (09/10/2025) diz que o governo aumentou impostos 'ao menos 27 vezes desde 2023'. Essa conta só inclui tributos relevantes que elevaram a arrecadação de forma consistente. A Exame (17/06/2025) chega a 'ao menos 37', mas a lista mistura coisas diferentes: oito itens tratam da mesma MP 1.303, e entram medidas revogadas (a 'taxa das blusinhas' e o decreto do IOF), propostas não aprovadas (CSLL/JCP, dividendos) e até a defesa de Haddad da taxação de super-ricos no G20. Tirando esses itens, o total também fica abaixo de 30. Além disso, a frase fala em 'impostos', mas são medidas, e muitas apenas trazem de volta tributos que estavam zerados ou mudam regimes e benefícios. O número de impostos distintos criados ou aumentados é bem menor que 30. Houve muitos aumentos de tributos, mas 'mais de 30 impostos' exagera o que as fontes permitidas mostram.</t>
        </is>
      </c>
    </row>
    <row r="13">
      <c r="A13" s="21" t="inlineStr">
        <is>
          <t>F37</t>
        </is>
      </c>
      <c r="B13" s="21" t="inlineStr">
        <is>
          <t>Flávio</t>
        </is>
      </c>
      <c r="C13" s="21" t="inlineStr">
        <is>
          <t>A Caixa tem mais de 11 milhões de contratos de financiamento imobiliário.</t>
        </is>
      </c>
      <c r="D13" s="32" t="inlineStr">
        <is>
          <t>Exagerado</t>
        </is>
      </c>
      <c r="E13" s="21" t="inlineStr">
        <is>
          <t>Nenhuma fonte oficial ou jornalística traz número atual de contratos perto de 11 milhões. Reportagens registram cerca de 5,76 milhões de contratos em 2021 e cerca de 6,6 a 6,9 milhões em 2024. Em 2025, a Caixa financiou mais de 873 mil imóveis, e a carteira habitacional passou de R$ 1 trilhão em 2026. A Caixa é de fato líder, com cerca de 68% do crédito imobiliário, mas o número de 11 milhões parece inflado.</t>
        </is>
      </c>
    </row>
    <row r="14">
      <c r="A14" s="21" t="inlineStr">
        <is>
          <t>F38</t>
        </is>
      </c>
      <c r="B14" s="21" t="inlineStr">
        <is>
          <t>Flávio</t>
        </is>
      </c>
      <c r="C14" s="21" t="inlineStr">
        <is>
          <t>O governo Lula zerou o orçamento federal para o ensino integral.</t>
        </is>
      </c>
      <c r="D14" s="32" t="inlineStr">
        <is>
          <t>Exagerado</t>
        </is>
      </c>
      <c r="E14" s="21" t="inlineStr">
        <is>
          <t>O Programa Escola em Tempo Integral foi criado pelo próprio governo Lula. Em julho de 2025, um levantamento da Folha, reproduzido pelo Portal de Prefeitura, mostrou que o governo pediu para remanejar R$ 685,9 milhões dos R$ 1,5 bilhão previstos na LOA para as escolas de tempo integral, a fim de pagar o Pé-de-Meia. É quase metade da verba. O remanejamento dependia de aprovação do Congresso. A execução era muito baixa: até então, só R$ 297 mil tinham sido pagos (0,02% do previsto). O MEC disse que o programa não seria prejudicado. Houve um corte relevante e a execução foi quase nula, mas nenhuma fonte permitida mostra o orçamento zerado.</t>
        </is>
      </c>
    </row>
    <row r="15">
      <c r="A15" s="21" t="inlineStr">
        <is>
          <t>F39</t>
        </is>
      </c>
      <c r="B15" s="21" t="inlineStr">
        <is>
          <t>Flávio</t>
        </is>
      </c>
      <c r="C15" s="21" t="inlineStr">
        <is>
          <t>Lula é 'o pai do tigrinho': ele criou/liberou o cassino online (bets) e, perto da eleição, cancelou.</t>
        </is>
      </c>
      <c r="D15" s="32" t="inlineStr">
        <is>
          <t>Exagerado</t>
        </is>
      </c>
      <c r="E15" s="21" t="inlineStr">
        <is>
          <t>As apostas de quota fixa foram legalizadas pela Lei 13.756/2018, no governo Temer. No governo Lula, a Lei 14.790/2023 as regulamentou e incluiu os jogos online, como os do tipo 'tigrinho'. Em 26/09/2026, cerca de nove dias antes do 1º turno, Lula assinou a MP 1.394, que suspende as apostas de quota fixa por 120 dias, extingue as autorizações e proíbe a publicidade. Lula não 'criou' as bets, mas liberou o cassino online e depois o proibiu perto da eleição.</t>
        </is>
      </c>
    </row>
    <row r="16">
      <c r="A16" s="21" t="inlineStr">
        <is>
          <t>F42</t>
        </is>
      </c>
      <c r="B16" s="21" t="inlineStr">
        <is>
          <t>Flávio</t>
        </is>
      </c>
      <c r="C16" s="21" t="inlineStr">
        <is>
          <t>A nota do Brasil no PISA é uma das piores da história com o atual governo.</t>
        </is>
      </c>
      <c r="D16" s="32" t="inlineStr">
        <is>
          <t>Exagerado</t>
        </is>
      </c>
      <c r="E16" s="21" t="inlineStr">
        <is>
          <t>No PISA 2025, o Brasil teve 408 pontos em leitura, 377 em matemática e 409 em ciências. O resultado ficou estável em relação a 2022, e ciências subiu de 403 para 409. A distância para a média da OCDE caiu desde 2006. Em matemática a nota está entre as mais baixas da série, mas leitura está no meio da série e ciências está entre as melhores. 'Uma das piores da história' não descreve bem o conjunto.</t>
        </is>
      </c>
    </row>
    <row r="17">
      <c r="A17" s="21" t="inlineStr">
        <is>
          <t>F46</t>
        </is>
      </c>
      <c r="B17" s="21" t="inlineStr">
        <is>
          <t>Flávio</t>
        </is>
      </c>
      <c r="C17" s="21" t="inlineStr">
        <is>
          <t>Lula disse que ladrão de celular não deveria ser preso porque roubou para tomar uma cervejinha.</t>
        </is>
      </c>
      <c r="D17" s="33" t="inlineStr">
        <is>
          <t>Falso</t>
        </is>
      </c>
      <c r="E17" s="21" t="inlineStr">
        <is>
          <t>Segundo o Poder360, em 13/10/2022 a ministra Maria Claudia Bucchianeri, do TSE, suspendeu uma propaganda de Bolsonaro que associava Lula a ladrões. Em uma entrevista, Lula disse que há pessoas que roubam celular para vender e 'ganhar um dinheirinho', ao falar das causas da violência e da pobreza. A cerveja aparece em outro trecho, sobre torcidas rivais que 'vão para o bar tomar cerveja juntos'. A ministra classificou a peça como 'montagem', com frases ditas em momentos e contextos distintos, e a proibiu sob pena de multa de R$ 50 mil. Nenhuma fonte mostra Lula dizendo que ladrão de celular não deveria ser preso.</t>
        </is>
      </c>
    </row>
    <row r="18">
      <c r="A18" s="21" t="inlineStr">
        <is>
          <t>F47</t>
        </is>
      </c>
      <c r="B18" s="21" t="inlineStr">
        <is>
          <t>Flávio</t>
        </is>
      </c>
      <c r="C18" s="21" t="inlineStr">
        <is>
          <t>No caso da ilha reivindicada por Richarlison, a ação já transitou em julgado e o sócio de Willer (amigo de Flávio) é o ex-ministro de Dilma Eugênio Aragão, advogado de Lula.</t>
        </is>
      </c>
      <c r="D18" s="32" t="inlineStr">
        <is>
          <t>Exagerado</t>
        </is>
      </c>
      <c r="E18" s="21" t="inlineStr">
        <is>
          <t>A disputa pela ilha em Angra dos Reis segue aberta em outubro de 2026. Lula pediu à PF que investigue, e a PF deve incluir o caso no inquérito sobre Flávio e Willer Tomaz. Nenhuma reportagem fala em decisão judicial transitada em julgado, o que contradiz a fala. É correto que Eugênio Aragão, ex-ministro da Justiça de Dilma, foi sócio de Willer Tomaz e advogou para a empresa (reportagem de 2022).</t>
        </is>
      </c>
    </row>
    <row r="19">
      <c r="A19" s="21" t="inlineStr">
        <is>
          <t>F48</t>
        </is>
      </c>
      <c r="B19" s="21" t="inlineStr">
        <is>
          <t>Flávio</t>
        </is>
      </c>
      <c r="C19" s="21" t="inlineStr">
        <is>
          <t>Lula ganhou um uísque Macallan de cerca de R$ 500 mil (presente ligado a Daniel Vorcaro).</t>
        </is>
      </c>
      <c r="D19" s="32" t="inlineStr">
        <is>
          <t>Exagerado</t>
        </is>
      </c>
      <c r="E19" s="21" t="inlineStr">
        <is>
          <t>Mensagens reveladas pelo O Globo indicam que Lula teria agradecido a Vorcaro por um uísque. A Secom nega que o presente tenha sido recebido, e Lula disse não lembrar. Nenhuma fonte jornalística consultada cita a marca Macallan nem o valor de R$ 500 mil.</t>
        </is>
      </c>
    </row>
    <row r="20">
      <c r="A20" s="21" t="inlineStr">
        <is>
          <t>F49</t>
        </is>
      </c>
      <c r="B20" s="21" t="inlineStr">
        <is>
          <t>Flávio</t>
        </is>
      </c>
      <c r="C20" s="21" t="inlineStr">
        <is>
          <t>Relatório da PF concluiu que o filme sobre Bolsonaro (investimento de Vorcaro) não teve dinheiro público nem contrapartida por Flávio ser senador.</t>
        </is>
      </c>
      <c r="D20" s="33" t="inlineStr">
        <is>
          <t>Falso</t>
        </is>
      </c>
      <c r="E20" s="21" t="inlineStr">
        <is>
          <t>Não existe conclusão da PF. Em outubro de 2026, a PF pediu mais 90 dias ao STF, à espera de perícia financeira. O relatório parcial descreve Flávio como 'interlocutor direto' de Vorcaro, e a PGR quer apurar se houve ato parlamentar em contrapartida. O argumento de que não houve contrapartida é da defesa de Flávio.</t>
        </is>
      </c>
    </row>
    <row r="21">
      <c r="A21" s="21" t="inlineStr">
        <is>
          <t>L01</t>
        </is>
      </c>
      <c r="B21" s="21" t="inlineStr">
        <is>
          <t>Lula</t>
        </is>
      </c>
      <c r="C21" s="21" t="inlineStr">
        <is>
          <t>O Novo PAC anunciou R$ 1,7 trilhão em investimentos, dos quais quase R$ 800 bilhões já foram executados; nunca se investiu tanto em infraestrutura na história.</t>
        </is>
      </c>
      <c r="D21" s="32" t="inlineStr">
        <is>
          <t>Exagerado</t>
        </is>
      </c>
      <c r="E21" s="21" t="inlineStr">
        <is>
          <t>O Novo PAC foi lançado em agosto de 2023 com R$ 1,7 trilhão. Cerca de R$ 300 bilhões desse total eram previstos para depois de 2026, e o valor inclui estatais, bancos públicos, concessões e PPPs. A página oficial da Casa Civil (dados de junho/2026) já mostra uma carteira de R$ 1,9 tri, mas não traz em texto um valor executado que confirme os 'quase R$ 800 bi'. O 'nunca se investiu tanto' não se sustenta para o dinheiro público: segundo o Poder360, a parcela do Orçamento da União (R$ 371 bi) é menor que a prevista no PAC 1 (R$ 414 bi) e no PAC 2 (R$ 621 bi).</t>
        </is>
      </c>
    </row>
    <row r="22">
      <c r="A22" s="21" t="inlineStr">
        <is>
          <t>L09</t>
        </is>
      </c>
      <c r="B22" s="21" t="inlineStr">
        <is>
          <t>Lula</t>
        </is>
      </c>
      <c r="C22" s="21" t="inlineStr">
        <is>
          <t>Na Argentina de Milei a pobreza chegou a 40% e o povo está comendo carne de burro.</t>
        </is>
      </c>
      <c r="D22" s="32" t="inlineStr">
        <is>
          <t>Exagerado</t>
        </is>
      </c>
      <c r="E22" s="21" t="inlineStr">
        <is>
          <t>Pelos dados do INDEC citados pela imprensa argentina, a pobreza chegou a 52,9% no 1º semestre de 2024, nos primeiros seis meses do governo Milei. Depois caiu para 38,1% no 2º semestre de 2024, 31,6% no 1º semestre de 2025 e 28,2% no 2º semestre de 2025, o menor nível desde o 1º semestre de 2018 (27,3%). Os 40% citados por Lula já ficaram para trás: hoje a taxa está abaixo de 30%. A carne de burro é uma iniciativa experimental de um produtor de Chubut, na Patagônia, que começou a ser vendida em abril de 2026. O primeiro lote foi de oito meias carcaças, de quatro animais, vendidas em um único açougue local. A venda fica restrita ao mercado local porque falta frigorífico com habilitação nacional. Não se trata de consumo generalizado.</t>
        </is>
      </c>
    </row>
    <row r="23">
      <c r="A23" s="21" t="inlineStr">
        <is>
          <t>L13</t>
        </is>
      </c>
      <c r="B23" s="21" t="inlineStr">
        <is>
          <t>Lula</t>
        </is>
      </c>
      <c r="C23" s="21" t="inlineStr">
        <is>
          <t>A transposição do São Francisco é a maior obra hídrica em funcionamento no mundo, com quase 1.700 km de canais e 15.000 km de adutoras.</t>
        </is>
      </c>
      <c r="D23" s="32" t="inlineStr">
        <is>
          <t>Exagerado</t>
        </is>
      </c>
      <c r="E23" s="21" t="inlineStr">
        <is>
          <t>Pelo Ministério da Integração (MIDR), o Projeto São Francisco tem 477 km de extensão nos eixos, mais ramais como o do Apodi (115,5 km), longe de 1.700 km de canais. A página oficial não chama a obra de maior do mundo, nem mesmo de maior do país, e não confirma os 15.000 km de adutoras.</t>
        </is>
      </c>
    </row>
    <row r="24">
      <c r="A24" s="21" t="inlineStr">
        <is>
          <t>L15</t>
        </is>
      </c>
      <c r="B24" s="21" t="inlineStr">
        <is>
          <t>Lula</t>
        </is>
      </c>
      <c r="C24" s="21" t="inlineStr">
        <is>
          <t>O governo fez 14 novos hospitais e 40 novos institutos federais/universidades no Nordeste.</t>
        </is>
      </c>
      <c r="D24" s="32" t="inlineStr">
        <is>
          <t>Exagerado</t>
        </is>
      </c>
      <c r="E24" s="21" t="inlineStr">
        <is>
          <t>Lula disse que o governo 'fez' esses hospitais e institutos. Nenhuma fonte achada mostra isso como obra entregue. Os números dele parecem misturar anúncios diferentes. No Novo PAC da Educação (Folha de Pernambuco), o '14' do Nordeste são 14 hospitais universitários que já existem e vão receber até R$ 572 milhões. Não são hospitais novos. Dos 8 novos hospitais universitários anunciados no país, só 1 fica no Nordeste (Cariri, CE). Dos 10 novos campi de universidade, 4 são no Nordeste. Os '40 institutos' batem com o anúncio de março de 2024: 100 novos campi de institutos federais, 38 deles no Nordeste, com obras previstas para terminar no fim de 2026 (Correio da Manhã). Ou seja, era uma promessa de construção. Não achei fonte dizendo que essas unidades estão prontas em outubro de 2026. Uma matéria de março de 2026 mostra execução lenta das obras de educação do governo, mas trata da educação básica. Limite: o teto de buscas na web da sessão acabou na primeira consulta desta rodada. Só consegui abrir as páginas já conhecidas e não deu para checar quantos campi de institutos foram entregues em 2025/2026.</t>
        </is>
      </c>
    </row>
    <row r="25">
      <c r="A25" s="21" t="inlineStr">
        <is>
          <t>L21</t>
        </is>
      </c>
      <c r="B25" s="21" t="inlineStr">
        <is>
          <t>Lula</t>
        </is>
      </c>
      <c r="C25" s="21" t="inlineStr">
        <is>
          <t>A economia não crescia acima de 3% desde que Lula deixou a presidência em 2010, e voltou a crescer nesse ritmo no seu governo.</t>
        </is>
      </c>
      <c r="D25" s="33" t="inlineStr">
        <is>
          <t>Falso</t>
        </is>
      </c>
      <c r="E25" s="21" t="inlineStr">
        <is>
          <t>Depois de 2010, o PIB cresceu mais de 3% também em outros governos. Em 2011, com Dilma, o crescimento foi de 3,9% na série revisada do IBGE. Em 2021, com Bolsonaro, foi de 4,8%: o IBGE revisou o número de 5,0% para 4,8%, e esse ano foi um rebote depois da pandemia. A parte de que a economia voltou a crescer acima de 3% no atual governo procede: 3,2% em 2023 e 3,4% em 2024, a maior alta desde 2021.</t>
        </is>
      </c>
    </row>
    <row r="26">
      <c r="A26" s="21" t="inlineStr">
        <is>
          <t>L27</t>
        </is>
      </c>
      <c r="B26" s="21" t="inlineStr">
        <is>
          <t>Lula</t>
        </is>
      </c>
      <c r="C26" s="21" t="inlineStr">
        <is>
          <t>O 'tigrinho' (apostas online) foi criado pelo governo Bolsonaro em 2022 (ou por eles).</t>
        </is>
      </c>
      <c r="D26" s="33" t="inlineStr">
        <is>
          <t>Falso</t>
        </is>
      </c>
      <c r="E26" s="21" t="inlineStr">
        <is>
          <t>As apostas esportivas de quota fixa foram legalizadas pela Lei 13.756/2018, sancionada por Temer em dezembro de 2018. O governo Bolsonaro deixou passar o prazo para regulamentá-las. O 'tigrinho' (Fortune Tiger) é um jogo de cassino online de uma empresa privada estrangeira (PG Soft), que nem estava coberto pela lei de 2018. Esse tipo de jogo só entrou no mercado regulado pela Lei 14.790/2023, no governo Lula. A base real é a omissão regulatória, que deixou o mercado cinzento crescer; o governo Bolsonaro não 'criou' o tigrinho.</t>
        </is>
      </c>
    </row>
    <row r="27">
      <c r="A27" s="21" t="inlineStr">
        <is>
          <t>L28</t>
        </is>
      </c>
      <c r="B27" s="21" t="inlineStr">
        <is>
          <t>Lula</t>
        </is>
      </c>
      <c r="C27" s="21" t="inlineStr">
        <is>
          <t>O governo Lula encontrou cerca de 5.600 obras de creches, escolas e institutos federais paralisadas.</t>
        </is>
      </c>
      <c r="D27" s="32" t="inlineStr">
        <is>
          <t>Exagerado</t>
        </is>
      </c>
      <c r="E27" s="21" t="inlineStr">
        <is>
          <t>Há muitas obras de educação paralisadas, mas os números públicos ficam bem abaixo de 5.600. Em 10/01/2023, o ministro Camilo Santana falou em quase 3.700 obras paradas. O TCU contava 3.993 obras de educação paralisadas ou inacabadas, com dados de novembro de 2022 (Metrópoles). Em maio de 2023, o Pacto de Retomada partiu de cerca de 3.500 obras de infraestrutura escolar paralisadas ou inacabadas, segundo o cadastro do FNDE (Correio Braziliense). Depois, os pedidos de retomada pelo Pacto chegaram a 3.783 (Portal de Prefeitura, 16/03/2026). O número de 6.227 que aparece nessa matéria é o total de obras de educação previstas pelo governo, não a contagem de obras paralisadas. Nenhuma fonte permitida chega a cerca de 5.600 obras paradas.</t>
        </is>
      </c>
    </row>
    <row r="28">
      <c r="A28" s="21" t="inlineStr">
        <is>
          <t>L29</t>
        </is>
      </c>
      <c r="B28" s="21" t="inlineStr">
        <is>
          <t>Lula</t>
        </is>
      </c>
      <c r="C28" s="21" t="inlineStr">
        <is>
          <t>O governo Bolsonaro criou as escolas cívico-militares mas não as implementou.</t>
        </is>
      </c>
      <c r="D28" s="33" t="inlineStr">
        <is>
          <t>Falso</t>
        </is>
      </c>
      <c r="E28" s="21" t="inlineStr">
        <is>
          <t>O Programa Nacional das Escolas Cívico-Militares (Pecim) foi criado em 2019 e chegou a funcionar em cerca de 200 escolas até 2022. O MEC do governo Lula anunciou o fim do programa em julho de 2023. A escala foi pequena, mas o programa foi implementado.</t>
        </is>
      </c>
    </row>
    <row r="29">
      <c r="A29" s="21" t="inlineStr">
        <is>
          <t>L34</t>
        </is>
      </c>
      <c r="B29" s="21" t="inlineStr">
        <is>
          <t>Lula</t>
        </is>
      </c>
      <c r="C29" s="21" t="inlineStr">
        <is>
          <t>Flávio, ganhando salário de parlamentar (~R$ 46 mil), comprou uma casa de cerca de R$ 10 milhões.</t>
        </is>
      </c>
      <c r="D29" s="32" t="inlineStr">
        <is>
          <t>Exagerado</t>
        </is>
      </c>
      <c r="E29" s="21" t="inlineStr">
        <is>
          <t>O registro em cartório do DF indica que a casa no Lago Sul foi comprada em 2021 por R$ 5,97 milhões, com financiamento de R$ 3,1 milhões no BRB. A desproporção em relação ao salário de senador existe: na época, o salário bruto era de cerca de R$ 33,7 mil, e a reportagem cita cerca de R$ 24 mil líquidos. Mas o valor de R$ 10 milhões quase dobra o preço de compra registrado.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2"/>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50" customWidth="1" min="3" max="3"/>
    <col width="20" customWidth="1" min="4" max="4"/>
    <col width="20" customWidth="1" min="5" max="5"/>
    <col width="11" customWidth="1" min="6" max="6"/>
    <col width="80" customWidth="1" min="7" max="7"/>
  </cols>
  <sheetData>
    <row r="1">
      <c r="A1" s="3" t="inlineStr">
        <is>
          <t>ID</t>
        </is>
      </c>
      <c r="B1" s="3" t="inlineStr">
        <is>
          <t>Candidato</t>
        </is>
      </c>
      <c r="C1" s="3" t="inlineStr">
        <is>
          <t>Declaração</t>
        </is>
      </c>
      <c r="D1" s="3" t="inlineStr">
        <is>
          <t>Veredito pesquisa</t>
        </is>
      </c>
      <c r="E1" s="3" t="inlineStr">
        <is>
          <t>Veredito revisor (final)</t>
        </is>
      </c>
      <c r="F1" s="3" t="inlineStr">
        <is>
          <t>Concordou?</t>
        </is>
      </c>
      <c r="G1" s="3" t="inlineStr">
        <is>
          <t>O que o revisor confirmou/corrigiu</t>
        </is>
      </c>
    </row>
    <row r="2">
      <c r="A2" s="21" t="inlineStr">
        <is>
          <t>F01</t>
        </is>
      </c>
      <c r="B2" s="21" t="inlineStr">
        <is>
          <t>Flávio</t>
        </is>
      </c>
      <c r="C2" s="21" t="inlineStr">
        <is>
          <t>O governo Bolsonaro recebeu o país em 2019 com cerca de 14.000 obras inacabadas e entregou com pouco mais de 8.000.</t>
        </is>
      </c>
      <c r="D2" s="21" t="inlineStr">
        <is>
          <t>Verdadeiro, mas impreciso</t>
        </is>
      </c>
      <c r="E2" s="21" t="inlineStr">
        <is>
          <t>Verdadeiro, mas impreciso</t>
        </is>
      </c>
      <c r="F2" s="21" t="inlineStr">
        <is>
          <t>Sim</t>
        </is>
      </c>
      <c r="G2" s="21" t="inlineStr">
        <is>
          <t>REAVALIADO SEM FONTES ENVIESADAS. Veredito mantido. Saíram o 8.674 e o 14,4 mil em 38,4 mil, que só vinham da Gazeta do Povo. Entraram os números oficiais do TCU: 8.603 em 21.007 e cerca de 14 mil em 38 mil. O Jornal Opção não foi usado. Revisor: Abri todas as fontes citadas, e elas são permitidas e confirmam o que o agente afirma. O 8.603/21.007 e os 29% e 41% estão na notícia do TCU. O 14 mil em 38 mil está no relatório do TCU de 2019. A frase sobre a falta de política pública entre 2019 e 2022 está em O Povo. Um ajuste: a notícia do TCU dá como data dos dados a sessão de 18/10/2023, e a ligação com 2022 vem de O Povo. O texto foi ajustado para refletir isso. Nenhum dado depende de fonte excluída.</t>
        </is>
      </c>
    </row>
    <row r="3">
      <c r="A3" s="21" t="inlineStr">
        <is>
          <t>F02</t>
        </is>
      </c>
      <c r="B3" s="21" t="inlineStr">
        <is>
          <t>Flávio</t>
        </is>
      </c>
      <c r="C3" s="21" t="inlineStr">
        <is>
          <t>O TCU acaba de soltar (2026) relatório apontando mais de 11.500 obras paralisadas no atual governo.</t>
        </is>
      </c>
      <c r="D3" s="21" t="inlineStr">
        <is>
          <t>Verdadeiro, mas impreciso</t>
        </is>
      </c>
      <c r="E3" s="21" t="inlineStr">
        <is>
          <t>Verdadeiro, mas impreciso</t>
        </is>
      </c>
      <c r="F3" s="21" t="inlineStr">
        <is>
          <t>Sim</t>
        </is>
      </c>
      <c r="G3" s="21" t="inlineStr">
        <is>
          <t>REAVALIADO SEM FONTES ENVIESADAS. Nada mudou na substância. Revisor: Confirmei no TCU e no Viva os números 11.469 de 22.621 (50,7%), a data de 30/07/2025, a referência a abril de 2025 e as cerca de 1,2 mil paradas entre as 5.505 obras recentes. Acrescentei à explicação que 11.469 fica levemente abaixo de 'mais de 11.500'. Nenhum dado depende de fonte excluída.</t>
        </is>
      </c>
    </row>
    <row r="4">
      <c r="A4" s="34" t="inlineStr">
        <is>
          <t>F03</t>
        </is>
      </c>
      <c r="B4" s="34" t="inlineStr">
        <is>
          <t>Flávio</t>
        </is>
      </c>
      <c r="C4" s="34" t="inlineStr">
        <is>
          <t>Regra do governo Bolsonaro garante pedágio zero para motociclistas em todas as novas concessões federais de rodovias.</t>
        </is>
      </c>
      <c r="D4" s="34" t="inlineStr">
        <is>
          <t>Verdadeiro, mas impreciso</t>
        </is>
      </c>
      <c r="E4" s="34" t="inlineStr">
        <is>
          <t>Exagerado</t>
        </is>
      </c>
      <c r="F4" s="34" t="inlineStr">
        <is>
          <t>Não</t>
        </is>
      </c>
      <c r="G4" s="34" t="inlineStr">
        <is>
          <t>A base da pesquisa original está correta, mas o InfoMoney confirma que a portaria se limitava a 11 rodovias específicas e que cada contrato é negociado separadamente. Por isso a palavra 'garante' com 'todas as novas concessões' infla a medida, e mudei o veredito de 'Verdadeiro, mas impreciso' para 'Exagerado'. Descartei as fontes de blogs de motos.</t>
        </is>
      </c>
    </row>
    <row r="5">
      <c r="A5" s="21" t="inlineStr">
        <is>
          <t>F04</t>
        </is>
      </c>
      <c r="B5" s="21" t="inlineStr">
        <is>
          <t>Flávio</t>
        </is>
      </c>
      <c r="C5" s="21" t="inlineStr">
        <is>
          <t>O governo Bolsonaro instalou mais de 21.300 pontos de internet, em mais de 3.100 cidades, atendendo mais de 11 milhões de brasileiros (escolas, unidades de saúde, aldeias).</t>
        </is>
      </c>
      <c r="D5" s="21" t="inlineStr">
        <is>
          <t>Verdadeiro, mas impreciso</t>
        </is>
      </c>
      <c r="E5" s="21" t="inlineStr">
        <is>
          <t>Verdadeiro, mas impreciso</t>
        </is>
      </c>
      <c r="F5" s="21" t="inlineStr">
        <is>
          <t>Sim</t>
        </is>
      </c>
      <c r="G5" s="21" t="inlineStr">
        <is>
          <t>RECHECADO (2ª rodada). Concordo com o veredito e agora há confirmação do número exato, que o agente anterior não havia achado: o balanço oficial de dezembro de 2022 confirma 21,3 mil pontos, cerca de 3,2 mil cidades e mais de 11 milhões de pessoas. A ressalva sobre a origem no GESAC (2002) continua válida. Observação: o limite de buscas da sessão se esgotou depois da primeira consulta, então a revisão se apoiou em páginas abertas com WebFetch.</t>
        </is>
      </c>
    </row>
    <row r="6">
      <c r="A6" s="21" t="inlineStr">
        <is>
          <t>F05</t>
        </is>
      </c>
      <c r="B6" s="21" t="inlineStr">
        <is>
          <t>Flávio</t>
        </is>
      </c>
      <c r="C6" s="21" t="inlineStr">
        <is>
          <t>Lula implementou a carga tributária mais alta da história do país.</t>
        </is>
      </c>
      <c r="D6" s="21" t="inlineStr">
        <is>
          <t>Verdadeiro, mas impreciso</t>
        </is>
      </c>
      <c r="E6" s="21" t="inlineStr">
        <is>
          <t>Verdadeiro, mas impreciso</t>
        </is>
      </c>
      <c r="F6" s="21" t="inlineStr">
        <is>
          <t>Sim</t>
        </is>
      </c>
      <c r="G6" s="21" t="inlineStr">
        <is>
          <t>Confirmei os 32,4% e que a série do Tesouro começa em 2010. A ressalva sobre séries anteriores, com outra metodologia, segue válida. As fontes usadas são portais secundários que reproduzem o Tesouro. Não acessei a nota oficial do Tesouro porque o limite de buscas acabou.</t>
        </is>
      </c>
    </row>
    <row r="7">
      <c r="A7" s="21" t="inlineStr">
        <is>
          <t>F06</t>
        </is>
      </c>
      <c r="B7" s="21" t="inlineStr">
        <is>
          <t>Flávio</t>
        </is>
      </c>
      <c r="C7" s="21" t="inlineStr">
        <is>
          <t>A alíquota do novo IVA da reforma tributária é estimada em cerca de 28% e será o maior IVA do mundo; o governo já deveria ter enviado ao Congresso projeto definindo a alíquota.</t>
        </is>
      </c>
      <c r="D7" s="21" t="inlineStr">
        <is>
          <t>Verdadeiro, mas impreciso</t>
        </is>
      </c>
      <c r="E7" s="21" t="inlineStr">
        <is>
          <t>Verdadeiro, mas impreciso</t>
        </is>
      </c>
      <c r="F7" s="21" t="inlineStr">
        <is>
          <t>Sim</t>
        </is>
      </c>
      <c r="G7" s="21" t="inlineStr">
        <is>
          <t>Confirmei no InfoMoney os 28,55%, a comparação com a Hungria e o prazo de 2030/2031. A segunda parte da fala é falsa. Mantive 'Verdadeiro, mas impreciso' porque o núcleo da afirmação, a alíquota de cerca de 28% e o maior IVA do mundo, se sustenta. Seria defensável também chamar a fala inteira de 'Exagerada'.</t>
        </is>
      </c>
    </row>
    <row r="8">
      <c r="A8" s="21" t="inlineStr">
        <is>
          <t>F07</t>
        </is>
      </c>
      <c r="B8" s="21" t="inlineStr">
        <is>
          <t>Flávio</t>
        </is>
      </c>
      <c r="C8" s="21" t="inlineStr">
        <is>
          <t>Foi Bolsonaro que estabeleceu o benefício mínimo de R$ 600 do Bolsa Família/Auxílio Brasil.</t>
        </is>
      </c>
      <c r="D8" s="21" t="inlineStr">
        <is>
          <t>Exagerado</t>
        </is>
      </c>
      <c r="E8" s="21" t="inlineStr">
        <is>
          <t>Exagerado</t>
        </is>
      </c>
      <c r="F8" s="21" t="inlineStr">
        <is>
          <t>Sim</t>
        </is>
      </c>
      <c r="G8" s="21" t="inlineStr">
        <is>
          <t>REAVALIADO SEM FONTES ENVIESADAS. Veredito mantido. Saiu a Crusoé. A previsão do Orçamento de 2023 deu lugar ao dado confirmado de que o valor voltaria a R$ 400 em janeiro de 2023. Entrou a Lei 14.601/2023 como base do piso permanente. A referência ao número da EC 126 saiu. Revisor: O Correio Braziliense confirma a PEC das Bondades/Kamikaze e o acréscimo de R$ 200 válido até dezembro. O Jornal Contábil confirma a volta a R$ 400 sem nova medida e a PEC da equipe de Lula que ampliou o teto. A Câmara confirma o piso de R$ 600 por complementação na Lei 14.601/2023. A página do Planalto não abriu (timeout) e foi retirada das fontes, o que não muda o resultado porque a Câmara já confirma a lei. Tirei também o 'a partir de agosto', que nenhuma das fontes abertas confirma de forma explícita. Nenhum dado depende de fonte excluída.</t>
        </is>
      </c>
    </row>
    <row r="9">
      <c r="A9" s="21" t="inlineStr">
        <is>
          <t>F08</t>
        </is>
      </c>
      <c r="B9" s="21" t="inlineStr">
        <is>
          <t>Flávio</t>
        </is>
      </c>
      <c r="C9" s="21" t="inlineStr">
        <is>
          <t>Reduflação no governo Lula: dúzia de ovos virou caixa com 10, sabão em pó de 1 kg virou 800 g, barra de chocolate de 120 g virou 80 g, rolo de papel higiênico de 40 m virou 20 m.</t>
        </is>
      </c>
      <c r="D9" s="21" t="inlineStr">
        <is>
          <t>Exagerado</t>
        </is>
      </c>
      <c r="E9" s="21" t="inlineStr">
        <is>
          <t>Exagerado</t>
        </is>
      </c>
      <c r="F9" s="21" t="inlineStr">
        <is>
          <t>Sim</t>
        </is>
      </c>
      <c r="G9" s="21" t="inlineStr">
        <is>
          <t>Concordo. O limite de buscas da sessão acabou, então não pude fazer busca nova. Lembro, de conhecimento prévio, que a regra federal que obriga avisar o consumidor sobre redução de quantidade (Portaria MJSP 392/2021) é de 2021, antes do atual governo. Isso reforça que a prática não começou com Lula. O link do ABCdoABC é de portal regional que repete um alerta do Procon; tem valor secundário.</t>
        </is>
      </c>
    </row>
    <row r="10">
      <c r="A10" s="21" t="inlineStr">
        <is>
          <t>F09</t>
        </is>
      </c>
      <c r="B10" s="21" t="inlineStr">
        <is>
          <t>Flávio</t>
        </is>
      </c>
      <c r="C10" s="21" t="inlineStr">
        <is>
          <t>O Brasil tem uma das maiores taxas de juros do mundo.</t>
        </is>
      </c>
      <c r="D10" s="21" t="inlineStr">
        <is>
          <t>Verdadeiro</t>
        </is>
      </c>
      <c r="E10" s="21" t="inlineStr">
        <is>
          <t>Verdadeiro</t>
        </is>
      </c>
      <c r="F10" s="21" t="inlineStr">
        <is>
          <t>Sim</t>
        </is>
      </c>
      <c r="G10" s="21" t="inlineStr">
        <is>
          <t>Concordo. Não consegui fazer busca nova porque o limite de buscas acabou. A afirmação é genérica ("uma das maiores") e condiz com o histórico sabido da Selic e com as reportagens citadas, que são de portais de notícias.</t>
        </is>
      </c>
    </row>
    <row r="11">
      <c r="A11" s="21" t="inlineStr">
        <is>
          <t>F10</t>
        </is>
      </c>
      <c r="B11" s="21" t="inlineStr">
        <is>
          <t>Flávio</t>
        </is>
      </c>
      <c r="C11" s="21" t="inlineStr">
        <is>
          <t>Lula chamou o agro de fascista e disse que as pessoas (do agro) têm que se ajoelhar aos seus pés.</t>
        </is>
      </c>
      <c r="D11" s="21" t="inlineStr">
        <is>
          <t>Verdadeiro, mas impreciso</t>
        </is>
      </c>
      <c r="E11" s="21" t="inlineStr">
        <is>
          <t>Verdadeiro, mas impreciso</t>
        </is>
      </c>
      <c r="F11" s="21" t="inlineStr">
        <is>
          <t>Sim</t>
        </is>
      </c>
      <c r="G11" s="21" t="inlineStr">
        <is>
          <t>Concordo com o veredito. A fala de 2022 sobre parte do agro ser fascista está bem documentada. Não consegui abrir a fonte da fala do "ajoelhar" (o Canal Rural bloqueou o acesso, erro 403) e o limite de buscas acabou. Por isso essa parte depende só da fonte original, o que reduz a confiança.</t>
        </is>
      </c>
    </row>
    <row r="12">
      <c r="A12" s="21" t="inlineStr">
        <is>
          <t>F11</t>
        </is>
      </c>
      <c r="B12" s="21" t="inlineStr">
        <is>
          <t>Flávio</t>
        </is>
      </c>
      <c r="C12" s="21" t="inlineStr">
        <is>
          <t>Os juros reais do crédito do Plano Safra chegam perto de 20%, e o governo Lula contingencia recursos do seguro rural e do Plano Safra.</t>
        </is>
      </c>
      <c r="D12" s="21" t="inlineStr">
        <is>
          <t>Exagerado</t>
        </is>
      </c>
      <c r="E12" s="21" t="inlineStr">
        <is>
          <t>Exagerado</t>
        </is>
      </c>
      <c r="F12" s="21" t="inlineStr">
        <is>
          <t>Sim</t>
        </is>
      </c>
      <c r="G12" s="21" t="inlineStr">
        <is>
          <t>Confirmei no Times Brasil e no AgFeed o teto de 9% do Pronamp e que nenhum dos dois fala em 20%. As duas reportagens não informam a taxa de 12,5% do custeio empresarial que a pesquisa original atribuiu a elas. Não consegui abrir a matéria do Canal Rural sobre o bloqueio de R$ 461,7 milhões (erro 403). O AgFeed mostra ainda que o volume de custeio caiu cerca de 11% em termos reais, o que dá alguma base à crítica de aperto no crédito. A parte dos juros de 20% continua sem sustentação para o crédito oficial.</t>
        </is>
      </c>
    </row>
    <row r="13">
      <c r="A13" s="21" t="inlineStr">
        <is>
          <t>F12</t>
        </is>
      </c>
      <c r="B13" s="21" t="inlineStr">
        <is>
          <t>Flávio</t>
        </is>
      </c>
      <c r="C13" s="21" t="inlineStr">
        <is>
          <t>A esquerda governou a Argentina por 20 anos; Milei começou o governo com 211% de inflação e a taxa de juros chegou a 100%.</t>
        </is>
      </c>
      <c r="D13" s="21" t="inlineStr">
        <is>
          <t>Verdadeiro, mas impreciso</t>
        </is>
      </c>
      <c r="E13" s="21" t="inlineStr">
        <is>
          <t>Verdadeiro, mas impreciso</t>
        </is>
      </c>
      <c r="F13" s="21" t="inlineStr">
        <is>
          <t>Sim</t>
        </is>
      </c>
      <c r="G13" s="21" t="inlineStr">
        <is>
          <t>Concordo. Não pude fazer busca nova. Os números batem com o que sei: 211,4% de inflação em 2023 e corte da taxa de 133% para 100% logo depois da posse. A fonte NBC News da lista original é um portal estrangeiro e não acrescenta nada; tirei da lista.</t>
        </is>
      </c>
    </row>
    <row r="14">
      <c r="A14" s="21" t="inlineStr">
        <is>
          <t>F13</t>
        </is>
      </c>
      <c r="B14" s="21" t="inlineStr">
        <is>
          <t>Flávio</t>
        </is>
      </c>
      <c r="C14" s="21" t="inlineStr">
        <is>
          <t>Lula já gastou mais de R$ 400 bilhões para tentar se reeleger (medidas não previstas no orçamento).</t>
        </is>
      </c>
      <c r="D14" s="21" t="inlineStr">
        <is>
          <t>Exagerado</t>
        </is>
      </c>
      <c r="E14" s="21" t="inlineStr">
        <is>
          <t>Exagerado</t>
        </is>
      </c>
      <c r="F14" s="21" t="inlineStr">
        <is>
          <t>Sim</t>
        </is>
      </c>
      <c r="G14" s="21" t="inlineStr">
        <is>
          <t>REAVALIADO SEM FONTES ENVIESADAS. O veredito foi mantido. A fonte excluída (Diário do Poder) foi descartada. O revisor conferiu o Poder360: os valores citados batem e o texto diz explicitamente que o Gás do Povo está no Orçamento. A reportagem não chama Bolsa Família e Farmácia Popular de "permanentes", e sim de programas retomados, por isso a redação foi ajustada. A confiança passou a Média. Revisor: A reavaliação não usa nenhum dado de fonte excluída. Os valores conferem com o Poder360. Ajustei só a redação: a reportagem não usa a palavra "permanentes", diz que os programas foram "resgatados".</t>
        </is>
      </c>
    </row>
    <row r="15">
      <c r="A15" s="21" t="inlineStr">
        <is>
          <t>F14</t>
        </is>
      </c>
      <c r="B15" s="21" t="inlineStr">
        <is>
          <t>Flávio</t>
        </is>
      </c>
      <c r="C15" s="21" t="inlineStr">
        <is>
          <t>Nas enchentes de 2024 no RS, Lula não entregou nem 30% do que prometeu.</t>
        </is>
      </c>
      <c r="D15" s="21" t="inlineStr">
        <is>
          <t>Falso</t>
        </is>
      </c>
      <c r="E15" s="21" t="inlineStr">
        <is>
          <t>Falso</t>
        </is>
      </c>
      <c r="F15" s="21" t="inlineStr">
        <is>
          <t>Sim</t>
        </is>
      </c>
      <c r="G15" s="21" t="inlineStr">
        <is>
          <t>REAVALIADO SEM FONTES ENVIESADAS. O resultado não mudou. A Gazeta do Povo foi descartada, e as três fontes permitidas, conferidas pelo revisor, sustentam o mesmo veredito. Revisor: Não há dado vindo de fonte excluída. Pequena correção: o Correio da Manhã não atribui o índice de 94% à ministra Miriam Belchior; ela apenas falou da meta de 100%. Os 57% do InfoMoney são uma conta feita a partir dos valores da reportagem e estão corretos.</t>
        </is>
      </c>
    </row>
    <row r="16">
      <c r="A16" s="21" t="inlineStr">
        <is>
          <t>F15</t>
        </is>
      </c>
      <c r="B16" s="21" t="inlineStr">
        <is>
          <t>Flávio</t>
        </is>
      </c>
      <c r="C16" s="21" t="inlineStr">
        <is>
          <t>Cerca de 90 milhões de brasileiros não têm esgoto tratado e cerca de 40 milhões não têm água tratada; o Marco Legal do Saneamento (meta de 90%+ até 2033) teve voto contrário da bancada do PT.</t>
        </is>
      </c>
      <c r="D16" s="21" t="inlineStr">
        <is>
          <t>Verdadeiro, mas impreciso</t>
        </is>
      </c>
      <c r="E16" s="21" t="inlineStr">
        <is>
          <t>Verdadeiro, mas impreciso</t>
        </is>
      </c>
      <c r="F16" s="21" t="inlineStr">
        <is>
          <t>Sim</t>
        </is>
      </c>
      <c r="G16" s="21" t="inlineStr">
        <is>
          <t>Confirmei com o release oficial do SINISA os números de água (cerca de 34 milhões) e de esgoto (cerca de 90 milhões sem coleta). Um acréscimo: o número de 90 milhões subestima, e não infla, quem não tem esgoto tratado. O erro relevante é o dos 40 milhões sem água. Não consegui uma nova busca sobre a votação no Senado porque o limite de buscas da sessão acabou. Mantive a votação com base na fonte jornalística da pesquisa original (Poder360).</t>
        </is>
      </c>
    </row>
    <row r="17">
      <c r="A17" s="21" t="inlineStr">
        <is>
          <t>F16</t>
        </is>
      </c>
      <c r="B17" s="21" t="inlineStr">
        <is>
          <t>Flávio</t>
        </is>
      </c>
      <c r="C17" s="21" t="inlineStr">
        <is>
          <t>Por causa do atual governo, a meta de universalização do saneamento já foi empurrada para depois de 2050.</t>
        </is>
      </c>
      <c r="D17" s="21" t="inlineStr">
        <is>
          <t>Falso</t>
        </is>
      </c>
      <c r="E17" s="21" t="inlineStr">
        <is>
          <t>Falso</t>
        </is>
      </c>
      <c r="F17" s="21" t="inlineStr">
        <is>
          <t>Sim</t>
        </is>
      </c>
      <c r="G17" s="21" t="inlineStr">
        <is>
          <t>Reli a matéria do Poder360 e confirmei a autoria do projeto de adiamento e a posição contrária do ministro. Descartei a fonte do Portal da Indústria (CNI), que é uma entidade setorial e não um portal jornalístico nem um órgão oficial. A conclusão não depende dela. Existe uma base real, as projeções de atraso, mas a afirmação de que a meta 'já foi empurrada' pelo governo é falsa.</t>
        </is>
      </c>
    </row>
    <row r="18">
      <c r="A18" s="21" t="inlineStr">
        <is>
          <t>F17</t>
        </is>
      </c>
      <c r="B18" s="21" t="inlineStr">
        <is>
          <t>Flávio</t>
        </is>
      </c>
      <c r="C18" s="21" t="inlineStr">
        <is>
          <t>O vídeo de Bolsonaro imitando pessoa com falta de ar foi tirado de contexto: ele criticava a orientação de esperar sentir falta de ar para ir ao hospital.</t>
        </is>
      </c>
      <c r="D18" s="21" t="inlineStr">
        <is>
          <t>Verdadeiro, mas impreciso</t>
        </is>
      </c>
      <c r="E18" s="21" t="inlineStr">
        <is>
          <t>Verdadeiro, mas impreciso</t>
        </is>
      </c>
      <c r="F18" s="21" t="inlineStr">
        <is>
          <t>Sim</t>
        </is>
      </c>
      <c r="G18" s="21" t="inlineStr">
        <is>
          <t>Confirmei pelo Poder360 que os dois vídeos são de 2021, que ambos criticavam o 'protocolo Mandetta' e que Bolsonaro negou a imitação no JN em agosto de 2022. As datas variam um pouco entre as reportagens (março e maio de 2021), o que não altera o veredito.</t>
        </is>
      </c>
    </row>
    <row r="19">
      <c r="A19" s="21" t="inlineStr">
        <is>
          <t>F18</t>
        </is>
      </c>
      <c r="B19" s="21" t="inlineStr">
        <is>
          <t>Flávio</t>
        </is>
      </c>
      <c r="C19" s="21" t="inlineStr">
        <is>
          <t>Os estados do Nordeste, governados pelo PT e aliados, são os mais violentos do Brasil.</t>
        </is>
      </c>
      <c r="D19" s="21" t="inlineStr">
        <is>
          <t>Verdadeiro, mas impreciso</t>
        </is>
      </c>
      <c r="E19" s="21" t="inlineStr">
        <is>
          <t>Verdadeiro, mas impreciso</t>
        </is>
      </c>
      <c r="F19" s="21" t="inlineStr">
        <is>
          <t>Sim</t>
        </is>
      </c>
      <c r="G19" s="21" t="inlineStr">
        <is>
          <t>Reli a matéria da CNN Brasil e confirmei as taxas regionais e a concentração dos municípios mais violentos no Nordeste. A matéria não traz o ranking estadual completo. Mantive o Amapá como líder estadual de 2024 com base no Diario de Pernambuco. Retirei a fonte Brasil61, que é dispensável. Acrescentei Sergipe como mais um estado do Nordeste governado pelo PSD.</t>
        </is>
      </c>
    </row>
    <row r="20">
      <c r="A20" s="21" t="inlineStr">
        <is>
          <t>F19</t>
        </is>
      </c>
      <c r="B20" s="21" t="inlineStr">
        <is>
          <t>Flávio</t>
        </is>
      </c>
      <c r="C20" s="21" t="inlineStr">
        <is>
          <t>Lula prometeu entregar a transposição do São Francisco até 2009 e depois até 2014 e não entregou; foi Bolsonaro quem concluiu as obras e fez a água chegar ao Nordeste.</t>
        </is>
      </c>
      <c r="D20" s="21" t="inlineStr">
        <is>
          <t>Exagerado</t>
        </is>
      </c>
      <c r="E20" s="21" t="inlineStr">
        <is>
          <t>Exagerado</t>
        </is>
      </c>
      <c r="F20" s="21" t="inlineStr">
        <is>
          <t>Sim</t>
        </is>
      </c>
      <c r="G20" s="21" t="inlineStr">
        <is>
          <t>Confirmei pelo Poder360 a divisão dos investimentos por governo, a promessa original de 2012 e as inaugurações de Temer (Eixo Leste, 2017) e de Bolsonaro (Eixo Norte). Corrigi um detalhe: a pesquisa original citava execução de 70% a 86% até 2016, e prefiro a divisão em valores investidos (57% do total pelo PT), que é mais verificável. O MDR alegou que os percentuais de conclusão informados por governos anteriores eram inflados. A base é real (atrasos e conclusão do Eixo Norte sob Bolsonaro), mas é exagero atribuir a Bolsonaro a obra e a chegada da água ao Nordeste.</t>
        </is>
      </c>
    </row>
    <row r="21">
      <c r="A21" s="21" t="inlineStr">
        <is>
          <t>F20</t>
        </is>
      </c>
      <c r="B21" s="21" t="inlineStr">
        <is>
          <t>Flávio</t>
        </is>
      </c>
      <c r="C21" s="21" t="inlineStr">
        <is>
          <t>No governo Lula o Bolsa Família pagava em média R$ 190 (R$ 75, R$ 120); Bolsonaro passou para no mínimo R$ 600.</t>
        </is>
      </c>
      <c r="D21" s="21" t="inlineStr">
        <is>
          <t>Verdadeiro, mas impreciso</t>
        </is>
      </c>
      <c r="E21" s="21" t="inlineStr">
        <is>
          <t>Verdadeiro, mas impreciso</t>
        </is>
      </c>
      <c r="F21" s="21" t="inlineStr">
        <is>
          <t>Sim</t>
        </is>
      </c>
      <c r="G21" s="21" t="inlineStr">
        <is>
          <t>Não consegui reabrir as fontes: o Canal Rural retornou 403, o PDF do Senado veio ilegível e o limite de buscas da sessão acabou. O veredito se apoia nas fontes da pesquisa original e em dados amplamente noticiados (Lei 14.284/2021 e EC 123/2022). Descartei a fonte Tribuna do Sertão, um portal pequeno e dispensável. Concordo com o veredito: a essência (de valores bem menores a um mínimo de R$ 600) procede, mas os valores e a atribuição estão imprecisos, e o aumento era temporário.</t>
        </is>
      </c>
    </row>
    <row r="22">
      <c r="A22" s="21" t="inlineStr">
        <is>
          <t>F21</t>
        </is>
      </c>
      <c r="B22" s="21" t="inlineStr">
        <is>
          <t>Flávio</t>
        </is>
      </c>
      <c r="C22" s="21" t="inlineStr">
        <is>
          <t>O Brasil tinha 199 mil moradores de rua inscritos no CadÚnico e esse número quase dobrou no governo Lula.</t>
        </is>
      </c>
      <c r="D22" s="21" t="inlineStr">
        <is>
          <t>Verdadeiro</t>
        </is>
      </c>
      <c r="E22" s="21" t="inlineStr">
        <is>
          <t>Verdadeiro</t>
        </is>
      </c>
      <c r="F22" s="21" t="inlineStr">
        <is>
          <t>Sim</t>
        </is>
      </c>
      <c r="G22" s="21" t="inlineStr">
        <is>
          <t>Confirmei os números de 198,7 mil e 392,4 mil (+97,4%) no Portal de Prefeitura, mas ele é um agregador que não cita a fonte oficial, e isso pesa contra a confiança. O Jornal Opção retornou 403, e o relatório do MDH no gov.br exige login. Por isso não confirmei os números em fonte oficial, e o limite de buscas da sessão acabou. A trajetória é coerente com os 335 mil de 2025 noticiados pela Exame. Baixei a confiança de Alta para Média. A explicação do MDS sobre subnotificação não aparece nas fontes que consegui ler, e o artigo do Portal de Prefeitura não discute causas cadastrais.</t>
        </is>
      </c>
    </row>
    <row r="23">
      <c r="A23" s="21" t="inlineStr">
        <is>
          <t>F22</t>
        </is>
      </c>
      <c r="B23" s="21" t="inlineStr">
        <is>
          <t>Flávio</t>
        </is>
      </c>
      <c r="C23" s="21" t="inlineStr">
        <is>
          <t>O reajuste recente do Bolsa Família (há 17 dias, perto da eleição) equivale a R$ 3 por dia.</t>
        </is>
      </c>
      <c r="D23" s="21" t="inlineStr">
        <is>
          <t>Verdadeiro, mas impreciso</t>
        </is>
      </c>
      <c r="E23" s="21" t="inlineStr">
        <is>
          <t>Verdadeiro, mas impreciso</t>
        </is>
      </c>
      <c r="F23" s="21" t="inlineStr">
        <is>
          <t>Sim</t>
        </is>
      </c>
      <c r="G23" s="21" t="inlineStr">
        <is>
          <t>A cota de buscas web da sessão acabou, então não fiz busca nova. Abri a matéria do SBT News, que confirma 15,04%, R$ 600 para R$ 691 e R$ 675 para R$ 777. A matéria não cita o número do decreto (13.120), que fica sem confirmação. Descartei a Tribuna de Jundiaí, que tem viés opinativo.</t>
        </is>
      </c>
    </row>
    <row r="24">
      <c r="A24" s="21" t="inlineStr">
        <is>
          <t>F23</t>
        </is>
      </c>
      <c r="B24" s="21" t="inlineStr">
        <is>
          <t>Flávio</t>
        </is>
      </c>
      <c r="C24" s="21" t="inlineStr">
        <is>
          <t>O governo Lula tem recorde de mulheres assassinadas e aumento da violência contra mulheres.</t>
        </is>
      </c>
      <c r="D24" s="21" t="inlineStr">
        <is>
          <t>Verdadeiro, mas impreciso</t>
        </is>
      </c>
      <c r="E24" s="21" t="inlineStr">
        <is>
          <t>Verdadeiro, mas impreciso</t>
        </is>
      </c>
      <c r="F24" s="21" t="inlineStr">
        <is>
          <t>Sim</t>
        </is>
      </c>
      <c r="G24" s="21" t="inlineStr">
        <is>
          <t>REAVALIADO SEM FONTES ENVIESADAS. O veredito foi mantido. Saiu da explicação a queda de 5,5% no total de homicídios de mulheres, que não aparece em nenhuma fonte permitida (vinha provavelmente da CartaCapital ou do Vermelho). No lugar entraram a proporção de 44,4% (CNN Brasil) e a queda de 8% nas mortes violentas (Correio da Manhã). A confiança caiu para Média porque a imprecisão ficou menos quantificada. Revisor: O revisor conferiu as três fontes, e todos os números citados batem. A remoção do dado de -5,5% foi correta. Não sobrou nenhum dado vindo de fonte excluída.</t>
        </is>
      </c>
    </row>
    <row r="25">
      <c r="A25" s="21" t="inlineStr">
        <is>
          <t>F24</t>
        </is>
      </c>
      <c r="B25" s="21" t="inlineStr">
        <is>
          <t>Flávio</t>
        </is>
      </c>
      <c r="C25" s="21" t="inlineStr">
        <is>
          <t>São mais de 80 milhões de brasileiros com contas em atraso (inadimplentes).</t>
        </is>
      </c>
      <c r="D25" s="21" t="inlineStr">
        <is>
          <t>Verdadeiro</t>
        </is>
      </c>
      <c r="E25" s="21" t="inlineStr">
        <is>
          <t>Verdadeiro</t>
        </is>
      </c>
      <c r="F25" s="21" t="inlineStr">
        <is>
          <t>Sim</t>
        </is>
      </c>
      <c r="G25" s="21" t="inlineStr">
        <is>
          <t>Confirmei os 82,8 milhões de março pela matéria do DGABC. O número de julho (83,9 milhões) vem do site da própria Serasa, que é uma empresa e não é dado oficial nem portal jornalístico, e não consegui confirmá-lo de forma independente. Mesmo assim, o veredito se mantém.</t>
        </is>
      </c>
    </row>
    <row r="26">
      <c r="A26" s="21" t="inlineStr">
        <is>
          <t>F25</t>
        </is>
      </c>
      <c r="B26" s="21" t="inlineStr">
        <is>
          <t>Flávio</t>
        </is>
      </c>
      <c r="C26" s="21" t="inlineStr">
        <is>
          <t>Tarcísio, Ricardo Nunes e Derrite acabaram com a Cracolândia em São Paulo.</t>
        </is>
      </c>
      <c r="D26" s="21" t="inlineStr">
        <is>
          <t>Exagerado</t>
        </is>
      </c>
      <c r="E26" s="21" t="inlineStr">
        <is>
          <t>Exagerado</t>
        </is>
      </c>
      <c r="F26" s="21" t="inlineStr">
        <is>
          <t>Sim</t>
        </is>
      </c>
      <c r="G26" s="21" t="inlineStr">
        <is>
          <t>REAVALIADO SEM FONTES ENVIESADAS. Saíram a fonte Brasil de Fato e a menção a uma declaração de Derrite. O veredito se mantém com as fontes OK. Revisor: Abri as três fontes OK e elas confirmam o que o outro agente afirma. O texto sobre 2012 e 2022 aparece na matéria da B News de 14 e 15/05, não na do Jornal de Brasília, mas isso não muda o veredito. Não sobrou nenhum dado que dependa de fonte excluída.</t>
        </is>
      </c>
    </row>
    <row r="27">
      <c r="A27" s="21" t="inlineStr">
        <is>
          <t>F26</t>
        </is>
      </c>
      <c r="B27" s="21" t="inlineStr">
        <is>
          <t>Flávio</t>
        </is>
      </c>
      <c r="C27" s="21" t="inlineStr">
        <is>
          <t>A dívida pública é de cerca de R$ 11 trilhões e a taxa básica de juros (Selic) está em torno de 14%.</t>
        </is>
      </c>
      <c r="D27" s="21" t="inlineStr">
        <is>
          <t>Verdadeiro</t>
        </is>
      </c>
      <c r="E27" s="21" t="inlineStr">
        <is>
          <t>Verdadeiro</t>
        </is>
      </c>
      <c r="F27" s="21" t="inlineStr">
        <is>
          <t>Sim</t>
        </is>
      </c>
      <c r="G27" s="21" t="inlineStr">
        <is>
          <t>Confirmei a dívida pelo Poder360, que cita o Banco Central, e a Selic de 13,75% direto na série oficial do Banco Central. Troquei a fonte atlaspublico.com.br, cuja natureza não está clara, pela série oficial do Banco Central.</t>
        </is>
      </c>
    </row>
    <row r="28">
      <c r="A28" s="21" t="inlineStr">
        <is>
          <t>F27</t>
        </is>
      </c>
      <c r="B28" s="21" t="inlineStr">
        <is>
          <t>Flávio</t>
        </is>
      </c>
      <c r="C28" s="21" t="inlineStr">
        <is>
          <t>Em outubro de 2022, a previsão era de que hoje a Selic estaria em torno de 7% se Bolsonaro continuasse.</t>
        </is>
      </c>
      <c r="D28" s="21" t="inlineStr">
        <is>
          <t>Verdadeiro, mas impreciso</t>
        </is>
      </c>
      <c r="E28" s="21" t="inlineStr">
        <is>
          <t>Verdadeiro, mas impreciso</t>
        </is>
      </c>
      <c r="F28" s="21" t="inlineStr">
        <is>
          <t>Sim</t>
        </is>
      </c>
      <c r="G28" s="21" t="inlineStr">
        <is>
          <t>RECHECADO (2ª rodada). Concordo com o veredito, mas corrijo um ponto do agente anterior: o Focus de 28/10/2022 trazia projeção para 2026 (mediana de 7,75%), conforme a API oficial do BCB. Isso deixa a fala de Flávio mais próxima do dado do que o agente indicou. A ressalva de que a projeção não estava condicionada à vitória de Bolsonaro continua válida. Não consegui extrair o texto do PDF localmente, por falta de ferramentas; os números vêm da API oficial.</t>
        </is>
      </c>
    </row>
    <row r="29">
      <c r="A29" s="21" t="inlineStr">
        <is>
          <t>F28</t>
        </is>
      </c>
      <c r="B29" s="21" t="inlineStr">
        <is>
          <t>Flávio</t>
        </is>
      </c>
      <c r="C29" s="21" t="inlineStr">
        <is>
          <t>Os juros da dívida pública custam quase R$ 1 trilhão por ano.</t>
        </is>
      </c>
      <c r="D29" s="21" t="inlineStr">
        <is>
          <t>Verdadeiro, mas impreciso</t>
        </is>
      </c>
      <c r="E29" s="21" t="inlineStr">
        <is>
          <t>Verdadeiro, mas impreciso</t>
        </is>
      </c>
      <c r="F29" s="21" t="inlineStr">
        <is>
          <t>Sim</t>
        </is>
      </c>
      <c r="G29" s="21" t="inlineStr">
        <is>
          <t>Confirmei o valor de junho pelo O Povo e atualizei com o número de agosto (R$ 1,18 trilhão) pelo Poder360. Descartei a coluna do ohoje.com, que é texto de opinião.</t>
        </is>
      </c>
    </row>
    <row r="30">
      <c r="A30" s="21" t="inlineStr">
        <is>
          <t>F29</t>
        </is>
      </c>
      <c r="B30" s="21" t="inlineStr">
        <is>
          <t>Flávio</t>
        </is>
      </c>
      <c r="C30" s="21" t="inlineStr">
        <is>
          <t>Após o 1º turno, com Flávio à frente nas pesquisas do 2º turno, a taxa de juros futuros caiu cerca de 2 pontos.</t>
        </is>
      </c>
      <c r="D30" s="21" t="inlineStr">
        <is>
          <t>Exagerado</t>
        </is>
      </c>
      <c r="E30" s="21" t="inlineStr">
        <is>
          <t>Exagerado</t>
        </is>
      </c>
      <c r="F30" s="21" t="inlineStr">
        <is>
          <t>Sim</t>
        </is>
      </c>
      <c r="G30" s="21" t="inlineStr">
        <is>
          <t>Concordo com o veredito. Conferi as matérias do Money Times de 6/10 e 8/10: há queda, mas o próprio texto cita outros fatores. A matéria do DGABC de 13/10 mostra que parte do rali se reverteu. Corrigi a estimativa: o ganho máximo foi de cerca de 1,5 ponto e encolheu depois. Não acessei a matéria do Canal Rural (erro 403).</t>
        </is>
      </c>
    </row>
    <row r="31">
      <c r="A31" s="34" t="inlineStr">
        <is>
          <t>F30</t>
        </is>
      </c>
      <c r="B31" s="34" t="inlineStr">
        <is>
          <t>Flávio</t>
        </is>
      </c>
      <c r="C31" s="34" t="inlineStr">
        <is>
          <t>Lula criou ou aumentou mais de 30 impostos.</t>
        </is>
      </c>
      <c r="D31" s="34" t="inlineStr">
        <is>
          <t>Verdadeiro, mas impreciso</t>
        </is>
      </c>
      <c r="E31" s="34" t="inlineStr">
        <is>
          <t>Exagerado</t>
        </is>
      </c>
      <c r="F31" s="34" t="inlineStr">
        <is>
          <t>Não</t>
        </is>
      </c>
      <c r="G31" s="34" t="inlineStr">
        <is>
          <t>REAVALIADO SEM FONTES ENVIESADAS. O veredito passou de 'Verdadeiro, mas impreciso' para 'Exagerado'. Os 37 da Exame dependem de itens repetidos, revogados ou não aprovados. A fonte Portal de Prefeitura (24 medidas) também saiu, porque apenas repassava a Gazeta. Revisor: As fontes do outro agente são permitidas e dizem o que ele afirma. A conclusão dele, porém, não bate com o veredito: ele mesmo escreveu que pela contagem estrita o total fica abaixo de 30 e que 'mais de 30' só vale se entrarem propostas. Abri a Exame e confirmei que a lista inclui oito itens da mesma MP, além de medidas revogadas, não aprovadas e uma declaração no G20. Por isso mudei o veredito para Exagerado e mantive a confiança Média, já que o Poder360 deixa de fora alguns ajustes pontuais de importação e exportação.</t>
        </is>
      </c>
    </row>
    <row r="32">
      <c r="A32" s="21" t="inlineStr">
        <is>
          <t>F31</t>
        </is>
      </c>
      <c r="B32" s="21" t="inlineStr">
        <is>
          <t>Flávio</t>
        </is>
      </c>
      <c r="C32" s="21" t="inlineStr">
        <is>
          <t>Lula, como deputado constituinte, votou contra a Constituição de 1988, que criou o SUS.</t>
        </is>
      </c>
      <c r="D32" s="21" t="inlineStr">
        <is>
          <t>Verdadeiro</t>
        </is>
      </c>
      <c r="E32" s="21" t="inlineStr">
        <is>
          <t>Verdadeiro</t>
        </is>
      </c>
      <c r="F32" s="21" t="inlineStr">
        <is>
          <t>Sim</t>
        </is>
      </c>
      <c r="G32" s="21" t="inlineStr">
        <is>
          <t>REAVALIADO SEM FONTES ENVIESADAS. Saíram a Fundação Perseu Abramo e a menção a votos favoráveis em dispositivos específicos. O veredito se mantém com o Poder360 e a Arpen-SP. Revisor: Abri as duas fontes e elas confirmam o voto contrário e a expressão 'cumprimento formal'. A data de 22/09 e a 'propriedade privada' vêm da Arpen-SP, não do Poder360, e ajustei a atribuição. Não sobrou nenhum dado que dependa de fonte excluída.</t>
        </is>
      </c>
    </row>
    <row r="33">
      <c r="A33" s="21" t="inlineStr">
        <is>
          <t>F32</t>
        </is>
      </c>
      <c r="B33" s="21" t="inlineStr">
        <is>
          <t>Flávio</t>
        </is>
      </c>
      <c r="C33" s="21" t="inlineStr">
        <is>
          <t>A espera por cirurgia de câncer de tireoide no SUS ultrapassou 700 dias.</t>
        </is>
      </c>
      <c r="D33" s="21" t="inlineStr">
        <is>
          <t>Verdadeiro</t>
        </is>
      </c>
      <c r="E33" s="21" t="inlineStr">
        <is>
          <t>Verdadeiro</t>
        </is>
      </c>
      <c r="F33" s="21" t="inlineStr">
        <is>
          <t>Sim</t>
        </is>
      </c>
      <c r="G33" s="21" t="inlineStr">
        <is>
          <t>Concordo. Abri a matéria e conferi os números e a data. Um contexto que vale registrar: o pior número da série (1.121 dias) é de 2022, no governo anterior, e em 2024 a espera foi de 75 dias.</t>
        </is>
      </c>
    </row>
    <row r="34">
      <c r="A34" s="21" t="inlineStr">
        <is>
          <t>F33</t>
        </is>
      </c>
      <c r="B34" s="21" t="inlineStr">
        <is>
          <t>Flávio</t>
        </is>
      </c>
      <c r="C34" s="21" t="inlineStr">
        <is>
          <t>A tabela SUS paga R$ 10 por consulta médica e R$ 443 por parto, e não foi atualizada pelo governo Lula.</t>
        </is>
      </c>
      <c r="D34" s="21" t="inlineStr">
        <is>
          <t>Verdadeiro, mas impreciso</t>
        </is>
      </c>
      <c r="E34" s="21" t="inlineStr">
        <is>
          <t>Verdadeiro, mas impreciso</t>
        </is>
      </c>
      <c r="F34" s="21" t="inlineStr">
        <is>
          <t>Sim</t>
        </is>
      </c>
      <c r="G34" s="21" t="inlineStr">
        <is>
          <t>Concordo. Confirmei no Senado o teor da Lei 14.820/2024; a matéria não traz os valores de R$ 10 e R$ 443. Não consegui conferir de forma independente se esses dois valores específicos seguem sem reajuste em 2026, porque o limite de buscas acabou. O Futuro da Saúde, citado pelo outro agente, é um portal setorial.</t>
        </is>
      </c>
    </row>
    <row r="35">
      <c r="A35" s="21" t="inlineStr">
        <is>
          <t>F34</t>
        </is>
      </c>
      <c r="B35" s="21" t="inlineStr">
        <is>
          <t>Flávio</t>
        </is>
      </c>
      <c r="C35" s="21" t="inlineStr">
        <is>
          <t>Tarcísio criou a 'Tabela SUS Paulista' em São Paulo e com isso reduziu muito as filas.</t>
        </is>
      </c>
      <c r="D35" s="21" t="inlineStr">
        <is>
          <t>Verdadeiro, mas impreciso</t>
        </is>
      </c>
      <c r="E35" s="21" t="inlineStr">
        <is>
          <t>Verdadeiro, mas impreciso</t>
        </is>
      </c>
      <c r="F35" s="21" t="inlineStr">
        <is>
          <t>Sim</t>
        </is>
      </c>
      <c r="G35" s="21" t="inlineStr">
        <is>
          <t>REAVALIADO SEM FONTES ENVIESADAS. Veredito mantido. Saiu o dado da Jovem Pan, que é fonte excluída. O recorde de cirurgias agora vem da Agência SP, e a comparação com o resto do país vem da Folhapress, com números do Ministério da Saúde: 32% em SP contra 42% no país. O texto também registra a divergência com os 48% citados por Haddad. Revisor: Abri as quatro fontes, e todas são permitidas e confirmam o que o outro agente escreveu. Fiz uma correção pequena. A participação federal de cerca de 60% a 61% vem de dados do governo estadual citados na matéria, e não do Ministério da Saúde, como dizia o texto do agente. A coluna do Correio da Manhã só menciona a tabela de passagem, então serve apenas de contexto. O texto não usa nenhum dado que tenha vindo só de fonte excluída.</t>
        </is>
      </c>
    </row>
    <row r="36">
      <c r="A36" s="21" t="inlineStr">
        <is>
          <t>F35</t>
        </is>
      </c>
      <c r="B36" s="21" t="inlineStr">
        <is>
          <t>Flávio</t>
        </is>
      </c>
      <c r="C36" s="21" t="inlineStr">
        <is>
          <t>Lula disse a frase 'se a comida está cara, não compra'.</t>
        </is>
      </c>
      <c r="D36" s="21" t="inlineStr">
        <is>
          <t>Verdadeiro, mas impreciso</t>
        </is>
      </c>
      <c r="E36" s="21" t="inlineStr">
        <is>
          <t>Verdadeiro, mas impreciso</t>
        </is>
      </c>
      <c r="F36" s="21" t="inlineStr">
        <is>
          <t>Sim</t>
        </is>
      </c>
      <c r="G36" s="21" t="inlineStr">
        <is>
          <t>Concordo. Confirmei a frase literal na Folha de Pernambuco (texto da Agência O Globo, 7/2/2025). A fala existe, mas não foi exatamente 'se a comida está cara, não compra'.</t>
        </is>
      </c>
    </row>
    <row r="37">
      <c r="A37" s="21" t="inlineStr">
        <is>
          <t>F36</t>
        </is>
      </c>
      <c r="B37" s="21" t="inlineStr">
        <is>
          <t>Flávio</t>
        </is>
      </c>
      <c r="C37" s="21" t="inlineStr">
        <is>
          <t>Lula prometeu picanha (na campanha de 2022) e não entregou.</t>
        </is>
      </c>
      <c r="D37" s="21" t="inlineStr">
        <is>
          <t>Verdadeiro, mas impreciso</t>
        </is>
      </c>
      <c r="E37" s="21" t="inlineStr">
        <is>
          <t>Verdadeiro, mas impreciso</t>
        </is>
      </c>
      <c r="F37" s="21" t="inlineStr">
        <is>
          <t>Sim</t>
        </is>
      </c>
      <c r="G37" s="21" t="inlineStr">
        <is>
          <t>Reli a matéria do Bem Paraná e os números conferem: 7,8% no governo Lula contra 33,4% e 38% no de Bolsonaro. A pesquisa original não disse que a alta ficou abaixo da inflação, ou seja, que a picanha ficou mais barata em termos reais. Isso enfraquece o 'não entregou', mas como o preço nominal subiu, mantive o veredito. Descartei a fonte do Diario de Pernambuco porque é uma pesquisa de opinião, não um dado de preço. O limite de buscas da sessão acabou, então só pude abrir diretamente as URLs já citadas.</t>
        </is>
      </c>
    </row>
    <row r="38">
      <c r="A38" s="34" t="inlineStr">
        <is>
          <t>F37</t>
        </is>
      </c>
      <c r="B38" s="34" t="inlineStr">
        <is>
          <t>Flávio</t>
        </is>
      </c>
      <c r="C38" s="34" t="inlineStr">
        <is>
          <t>A Caixa tem mais de 11 milhões de contratos de financiamento imobiliário.</t>
        </is>
      </c>
      <c r="D38" s="34" t="inlineStr">
        <is>
          <t>Exagerado</t>
        </is>
      </c>
      <c r="E38" s="34" t="inlineStr">
        <is>
          <t>Exagerado</t>
        </is>
      </c>
      <c r="F38" s="34" t="inlineStr">
        <is>
          <t>Não</t>
        </is>
      </c>
      <c r="G38" s="34" t="inlineStr">
        <is>
          <t>RECHECADO (2ª rodada). Os agentes da 2ª rodada esgotaram o limite de buscas; a rechecagem foi concluída na verificação final, com buscas próprias em portais de notícias e dados oficiais.</t>
        </is>
      </c>
    </row>
    <row r="39">
      <c r="A39" s="21" t="inlineStr">
        <is>
          <t>F38</t>
        </is>
      </c>
      <c r="B39" s="21" t="inlineStr">
        <is>
          <t>Flávio</t>
        </is>
      </c>
      <c r="C39" s="21" t="inlineStr">
        <is>
          <t>O governo Lula zerou o orçamento federal para o ensino integral.</t>
        </is>
      </c>
      <c r="D39" s="21" t="inlineStr">
        <is>
          <t>Exagerado</t>
        </is>
      </c>
      <c r="E39" s="21" t="inlineStr">
        <is>
          <t>Exagerado</t>
        </is>
      </c>
      <c r="F39" s="21" t="inlineStr">
        <is>
          <t>Sim</t>
        </is>
      </c>
      <c r="G39" s="21" t="inlineStr">
        <is>
          <t>REAVALIADO SEM FONTES ENVIESADAS. Nada mudou. A Revista Oeste, que é fonte excluída, não sustentava nenhum dado essencial. Revisor: Abri a fonte, e ela confirma todos os números e afirmações: R$ 685,9 milhões de R$ 1,5 bilhão, R$ 297 mil pagos, a resposta do MEC e a dependência do Congresso. A matéria é de 9 de julho de 2025. O texto não usa nenhum dado que tenha vindo de fonte excluída.</t>
        </is>
      </c>
    </row>
    <row r="40">
      <c r="A40" s="21" t="inlineStr">
        <is>
          <t>F39</t>
        </is>
      </c>
      <c r="B40" s="21" t="inlineStr">
        <is>
          <t>Flávio</t>
        </is>
      </c>
      <c r="C40" s="21" t="inlineStr">
        <is>
          <t>Lula é 'o pai do tigrinho': ele criou/liberou o cassino online (bets) e, perto da eleição, cancelou.</t>
        </is>
      </c>
      <c r="D40" s="21" t="inlineStr">
        <is>
          <t>Exagerado</t>
        </is>
      </c>
      <c r="E40" s="21" t="inlineStr">
        <is>
          <t>Exagerado</t>
        </is>
      </c>
      <c r="F40" s="21" t="inlineStr">
        <is>
          <t>Sim</t>
        </is>
      </c>
      <c r="G40" s="21" t="inlineStr">
        <is>
          <t>Confirmei pelo A Tarde a MP 1.394, a proibição por 120 dias e os sites fora do ar desde 6/10. A pesquisa original deu a data de 25/09, mas a matéria fala em anúncio na sexta, 26/09. Não consegui abrir a página da Lei 14.790 no Planalto (erro de conexão), mas a inclusão dos jogos online nessa lei é amplamente documentada. Descartei a Forbes e o SBT como redundantes.</t>
        </is>
      </c>
    </row>
    <row r="41">
      <c r="A41" s="21" t="inlineStr">
        <is>
          <t>F40</t>
        </is>
      </c>
      <c r="B41" s="21" t="inlineStr">
        <is>
          <t>Flávio</t>
        </is>
      </c>
      <c r="C41" s="21" t="inlineStr">
        <is>
          <t>No governo Bolsonaro foi anunciado perdão de quase 99% das dívidas do FIES e foi dado o maior reajuste da história do piso dos professores (33%).</t>
        </is>
      </c>
      <c r="D41" s="21" t="inlineStr">
        <is>
          <t>Verdadeiro, mas impreciso</t>
        </is>
      </c>
      <c r="E41" s="21" t="inlineStr">
        <is>
          <t>Verdadeiro, mas impreciso</t>
        </is>
      </c>
      <c r="F41" s="21" t="inlineStr">
        <is>
          <t>Sim</t>
        </is>
      </c>
      <c r="G41" s="21" t="inlineStr">
        <is>
          <t>Confirmei no Poder360 o percentual e que o reajuste veio da regra da Lei 11.738/2008. A CNM contestou essa regra e defendia corrigir pelo INPC, de 10,16%. Que foi o maior reajuste desde 2009 se conclui pela série histórica, já que o anterior mais alto foi de 22,22%, em 2012. O 'quase 99%' é o teto do desconto, não a regra geral.</t>
        </is>
      </c>
    </row>
    <row r="42">
      <c r="A42" s="21" t="inlineStr">
        <is>
          <t>F41</t>
        </is>
      </c>
      <c r="B42" s="21" t="inlineStr">
        <is>
          <t>Flávio</t>
        </is>
      </c>
      <c r="C42" s="21" t="inlineStr">
        <is>
          <t>Mais de 1 milhão de crianças não têm vaga em creche.</t>
        </is>
      </c>
      <c r="D42" s="21" t="inlineStr">
        <is>
          <t>Verdadeiro, mas impreciso</t>
        </is>
      </c>
      <c r="E42" s="21" t="inlineStr">
        <is>
          <t>Verdadeiro, mas impreciso</t>
        </is>
      </c>
      <c r="F42" s="21" t="inlineStr">
        <is>
          <t>Sim</t>
        </is>
      </c>
      <c r="G42" s="21" t="inlineStr">
        <is>
          <t>Confirmei o número exato (826.371), a fonte (MEC/Gaepe) e a data de publicação (27/02/2026). Mantive o veredito: pela fila formal o número está abaixo de 1 milhão, mas pelo critério do IBGE está acima.</t>
        </is>
      </c>
    </row>
    <row r="43">
      <c r="A43" s="21" t="inlineStr">
        <is>
          <t>F42</t>
        </is>
      </c>
      <c r="B43" s="21" t="inlineStr">
        <is>
          <t>Flávio</t>
        </is>
      </c>
      <c r="C43" s="21" t="inlineStr">
        <is>
          <t>A nota do Brasil no PISA é uma das piores da história com o atual governo.</t>
        </is>
      </c>
      <c r="D43" s="21" t="inlineStr">
        <is>
          <t>Exagerado</t>
        </is>
      </c>
      <c r="E43" s="21" t="inlineStr">
        <is>
          <t>Exagerado</t>
        </is>
      </c>
      <c r="F43" s="21" t="inlineStr">
        <is>
          <t>Sim</t>
        </is>
      </c>
      <c r="G43" s="21" t="inlineStr">
        <is>
          <t>Confirmei as notas, a estabilidade em relação a 2022 e a redução da distância para a OCDE pelo Correio da Manhã. A página da OCDE retornou erro 403. Acrescentei uma ressalva que a pesquisa original não fez: em matemática, os 377 pontos estão entre os mais baixos da série, empatados com 2015 e acima apenas de 2003 e 2006. Por isso a frase tem uma base parcial.</t>
        </is>
      </c>
    </row>
    <row r="44">
      <c r="A44" s="21" t="inlineStr">
        <is>
          <t>F43</t>
        </is>
      </c>
      <c r="B44" s="21" t="inlineStr">
        <is>
          <t>Flávio</t>
        </is>
      </c>
      <c r="C44" s="21" t="inlineStr">
        <is>
          <t>Lula é a favor de manter as saidinhas, contra a redução da maioridade penal e contra classificar CV, PCC e milícias como organizações terroristas.</t>
        </is>
      </c>
      <c r="D44" s="21" t="inlineStr">
        <is>
          <t>Verdadeiro, mas impreciso</t>
        </is>
      </c>
      <c r="E44" s="21" t="inlineStr">
        <is>
          <t>Verdadeiro, mas impreciso</t>
        </is>
      </c>
      <c r="F44" s="21" t="inlineStr">
        <is>
          <t>Sim</t>
        </is>
      </c>
      <c r="G44" s="21" t="inlineStr">
        <is>
          <t>Concordo. O limite de buscas da sessão acabou, e não consegui achar uma fonte nova sobre a maioridade penal, mas a posição de Lula é pública e antiga. Descartei como irrelevante a fonte InfoMoney sem título claro.</t>
        </is>
      </c>
    </row>
    <row r="45">
      <c r="A45" s="34" t="inlineStr">
        <is>
          <t>F44</t>
        </is>
      </c>
      <c r="B45" s="34" t="inlineStr">
        <is>
          <t>Flávio</t>
        </is>
      </c>
      <c r="C45" s="34" t="inlineStr">
        <is>
          <t>Com a lei antifacção, chefes de facções podem pegar até 80 anos de cadeia.</t>
        </is>
      </c>
      <c r="D45" s="34" t="inlineStr">
        <is>
          <t>Sem evidência</t>
        </is>
      </c>
      <c r="E45" s="34" t="inlineStr">
        <is>
          <t>Verdadeiro, mas impreciso</t>
        </is>
      </c>
      <c r="F45" s="34" t="inlineStr">
        <is>
          <t>Não</t>
        </is>
      </c>
      <c r="G45" s="34" t="inlineStr">
        <is>
          <t>RECHECADO (2ª rodada). Discordo do 'Sem evidência' anterior. Os dados oficiais da Câmara confirmam que a lei foi sancionada (Lei 15.358/2026), e o autógrafo mostra pena de 20 a 40 anos, aumentada de 2/3 até o dobro para quem exerce comando, o que dá até 80 anos. Ficou 'impreciso' porque o limite de cumprimento é de 40 anos e porque não foi possível confirmar que o § 1º sobreviveu ao veto parcial.</t>
        </is>
      </c>
    </row>
    <row r="46">
      <c r="A46" s="21" t="inlineStr">
        <is>
          <t>F45</t>
        </is>
      </c>
      <c r="B46" s="21" t="inlineStr">
        <is>
          <t>Flávio</t>
        </is>
      </c>
      <c r="C46" s="21" t="inlineStr">
        <is>
          <t>A audiência de custódia foi criada pelo CNJ quando Ricardo Lewandowski presidia o STF/CNJ.</t>
        </is>
      </c>
      <c r="D46" s="21" t="inlineStr">
        <is>
          <t>Verdadeiro</t>
        </is>
      </c>
      <c r="E46" s="21" t="inlineStr">
        <is>
          <t>Verdadeiro</t>
        </is>
      </c>
      <c r="F46" s="21" t="inlineStr">
        <is>
          <t>Sim</t>
        </is>
      </c>
      <c r="G46" s="21" t="inlineStr">
        <is>
          <t>Confirmado com fontes oficiais do CNJ. Vale como contexto: a audiência de custódia vem do Pacto de San José da Costa Rica, e o CNJ implantou e regulamentou o procedimento.</t>
        </is>
      </c>
    </row>
    <row r="47">
      <c r="A47" s="21" t="inlineStr">
        <is>
          <t>F46</t>
        </is>
      </c>
      <c r="B47" s="21" t="inlineStr">
        <is>
          <t>Flávio</t>
        </is>
      </c>
      <c r="C47" s="21" t="inlineStr">
        <is>
          <t>Lula disse que ladrão de celular não deveria ser preso porque roubou para tomar uma cervejinha.</t>
        </is>
      </c>
      <c r="D47" s="21" t="inlineStr">
        <is>
          <t>Falso</t>
        </is>
      </c>
      <c r="E47" s="21" t="inlineStr">
        <is>
          <t>Falso</t>
        </is>
      </c>
      <c r="F47" s="21" t="inlineStr">
        <is>
          <t>Sim</t>
        </is>
      </c>
      <c r="G47" s="21" t="inlineStr">
        <is>
          <t>REAVALIADO SEM FONTES ENVIESADAS. Veredito mantido. Saiu o ano de 2017 da entrevista, que não aparece na fonte permitida. O texto agora se apoia só na reportagem do Poder360 sobre a decisão do TSE. Revisor: Abri a fonte, e ela confirma o conteúdo das falas, a data da decisão, o nome da ministra e os termos 'montagem' e 'contextos distintos'. Ela não informa o ano da entrevista, e a retirada de 2017 foi correta. O texto não usa nenhum dado que tenha vindo de fonte excluída.</t>
        </is>
      </c>
    </row>
    <row r="48">
      <c r="A48" s="34" t="inlineStr">
        <is>
          <t>F47</t>
        </is>
      </c>
      <c r="B48" s="34" t="inlineStr">
        <is>
          <t>Flávio</t>
        </is>
      </c>
      <c r="C48" s="34" t="inlineStr">
        <is>
          <t>No caso da ilha reivindicada por Richarlison, a ação já transitou em julgado e o sócio de Willer (amigo de Flávio) é o ex-ministro de Dilma Eugênio Aragão, advogado de Lula.</t>
        </is>
      </c>
      <c r="D48" s="34" t="inlineStr">
        <is>
          <t>Verdadeiro, mas impreciso</t>
        </is>
      </c>
      <c r="E48" s="34" t="inlineStr">
        <is>
          <t>Exagerado</t>
        </is>
      </c>
      <c r="F48" s="34" t="inlineStr">
        <is>
          <t>Não</t>
        </is>
      </c>
      <c r="G48" s="34" t="inlineStr">
        <is>
          <t>RECHECADO (2ª rodada). Os agentes da 2ª rodada esgotaram o limite de buscas; a rechecagem foi concluída na verificação final, com buscas próprias em portais de notícias e dados oficiais.</t>
        </is>
      </c>
    </row>
    <row r="49">
      <c r="A49" s="21" t="inlineStr">
        <is>
          <t>F48</t>
        </is>
      </c>
      <c r="B49" s="21" t="inlineStr">
        <is>
          <t>Flávio</t>
        </is>
      </c>
      <c r="C49" s="21" t="inlineStr">
        <is>
          <t>Lula ganhou um uísque Macallan de cerca de R$ 500 mil (presente ligado a Daniel Vorcaro).</t>
        </is>
      </c>
      <c r="D49" s="21" t="inlineStr">
        <is>
          <t>Exagerado</t>
        </is>
      </c>
      <c r="E49" s="21" t="inlineStr">
        <is>
          <t>Exagerado</t>
        </is>
      </c>
      <c r="F49" s="21" t="inlineStr">
        <is>
          <t>Sim</t>
        </is>
      </c>
      <c r="G49" s="21" t="inlineStr">
        <is>
          <t>Abri o SBT News, que confirma a origem nas mensagens, a negativa da Secom e a ausência de marca e valor. A base é real, mas a marca e o valor parecem inflados.</t>
        </is>
      </c>
    </row>
    <row r="50">
      <c r="A50" s="21" t="inlineStr">
        <is>
          <t>F49</t>
        </is>
      </c>
      <c r="B50" s="21" t="inlineStr">
        <is>
          <t>Flávio</t>
        </is>
      </c>
      <c r="C50" s="21" t="inlineStr">
        <is>
          <t>Relatório da PF concluiu que o filme sobre Bolsonaro (investimento de Vorcaro) não teve dinheiro público nem contrapartida por Flávio ser senador.</t>
        </is>
      </c>
      <c r="D50" s="21" t="inlineStr">
        <is>
          <t>Falso</t>
        </is>
      </c>
      <c r="E50" s="21" t="inlineStr">
        <is>
          <t>Falso</t>
        </is>
      </c>
      <c r="F50" s="21" t="inlineStr">
        <is>
          <t>Sim</t>
        </is>
      </c>
      <c r="G50" s="21" t="inlineStr">
        <is>
          <t>Abri as duas reportagens da Folha de Pernambuco: o inquérito segue aberto e a contrapartida ainda está sendo apurada. Uma ressalva: a investigação trata de recursos privados de Vorcaro, não de dinheiro público. A parte 'sem dinheiro público' não é desmentida, mas a frase atribui à PF uma conclusão que ela não tirou.</t>
        </is>
      </c>
    </row>
    <row r="51">
      <c r="A51" s="34" t="inlineStr">
        <is>
          <t>F50</t>
        </is>
      </c>
      <c r="B51" s="34" t="inlineStr">
        <is>
          <t>Flávio</t>
        </is>
      </c>
      <c r="C51" s="34" t="inlineStr">
        <is>
          <t>Em áudio, Vorcaro relata repasse de R$ 30 milhões 'por fora' para o Instituto Lula fazer um filme de Lula.</t>
        </is>
      </c>
      <c r="D51" s="34" t="inlineStr">
        <is>
          <t>Verdadeiro, mas impreciso</t>
        </is>
      </c>
      <c r="E51" s="34" t="inlineStr">
        <is>
          <t>Verdadeiro</t>
        </is>
      </c>
      <c r="F51" s="34" t="inlineStr">
        <is>
          <t>Não</t>
        </is>
      </c>
      <c r="G51" s="34" t="inlineStr">
        <is>
          <t>Fiz nova busca e consultei o Correio da Manhã, que relata que o advogado de Vorcaro confirmou que a voz no áudio é dele. Elevo o veredito para 'Verdadeiro' porque Flávio afirma apenas o que o áudio relata, não que o pagamento ocorreu. A falta de comprovação do pagamento é ressalva de contexto, não erro na fala. As fontes da pesquisa original são noticiosas.</t>
        </is>
      </c>
    </row>
    <row r="52">
      <c r="A52" s="21" t="inlineStr">
        <is>
          <t>F51</t>
        </is>
      </c>
      <c r="B52" s="21" t="inlineStr">
        <is>
          <t>Flávio</t>
        </is>
      </c>
      <c r="C52" s="21" t="inlineStr">
        <is>
          <t>Segundo a Veja, um assessor de Alexandre Padilha articulou investimento de fundos de pensão (Caixa, BB, Correios) no Banco Master, com propina de R$ 1 bilhão.</t>
        </is>
      </c>
      <c r="D52" s="21" t="inlineStr">
        <is>
          <t>Verdadeiro, mas impreciso</t>
        </is>
      </c>
      <c r="E52" s="21" t="inlineStr">
        <is>
          <t>Verdadeiro, mas impreciso</t>
        </is>
      </c>
      <c r="F52" s="21" t="inlineStr">
        <is>
          <t>Sim</t>
        </is>
      </c>
      <c r="G52" s="21" t="inlineStr">
        <is>
          <t>Reli o Times Brasil e confirmei: R$ 1 bilhão em propina na versão de Vorcaro, Caixa e BB entre os visados, Postalis (dos Correios) entre os fundos. Correção ao original: a matéria cita Petros e Postalis, não a Previ, e não chama ninguém de 'assessor' de Padilha. Não consegui confirmar a resposta da Previ porque a cota de buscas acabou.</t>
        </is>
      </c>
    </row>
    <row r="53">
      <c r="A53" s="21" t="inlineStr">
        <is>
          <t>F52</t>
        </is>
      </c>
      <c r="B53" s="21" t="inlineStr">
        <is>
          <t>Flávio</t>
        </is>
      </c>
      <c r="C53" s="21" t="inlineStr">
        <is>
          <t>O endereço declarado por Lulinha é um imóvel em SP de até R$ 15 milhões cujo proprietário é Jonas Suassuna, o mesmo do sítio de Atibaia.</t>
        </is>
      </c>
      <c r="D53" s="21" t="inlineStr">
        <is>
          <t>Verdadeiro, mas impreciso</t>
        </is>
      </c>
      <c r="E53" s="21" t="inlineStr">
        <is>
          <t>Verdadeiro, mas impreciso</t>
        </is>
      </c>
      <c r="F53" s="21" t="inlineStr">
        <is>
          <t>Sim</t>
        </is>
      </c>
      <c r="G53" s="21" t="inlineStr">
        <is>
          <t>REAVALIADO SEM FONTES ENVIESADAS. O veredito se mantém e a confiança cai para Média. A informação de que Suassuna é 'um dos donos' do sítio vinha só da Gazeta do Povo, que foi excluída, e por isso foi retirada. Revisor: Abri o Jornal de Brasília e confirmei tudo o que o agente atribui a ele: dono, compra em 2009, área de mais de 500 m², aluguel desde 2013 e menção apenas a 'apurações' sobre o sítio. A matéria não traz valor do imóvel. O agente não usa nenhum dado que só vinha de fonte excluída. O resultado é coerente.</t>
        </is>
      </c>
    </row>
    <row r="54">
      <c r="A54" s="21" t="inlineStr">
        <is>
          <t>F53</t>
        </is>
      </c>
      <c r="B54" s="21" t="inlineStr">
        <is>
          <t>Flávio</t>
        </is>
      </c>
      <c r="C54" s="21" t="inlineStr">
        <is>
          <t>Lula foi condenado por ocultação de patrimônio (sítio de Atibaia e triplex do Guarujá não estavam em seu nome).</t>
        </is>
      </c>
      <c r="D54" s="21" t="inlineStr">
        <is>
          <t>Verdadeiro, mas impreciso</t>
        </is>
      </c>
      <c r="E54" s="21" t="inlineStr">
        <is>
          <t>Verdadeiro, mas impreciso</t>
        </is>
      </c>
      <c r="F54" s="21" t="inlineStr">
        <is>
          <t>Sim</t>
        </is>
      </c>
      <c r="G54" s="21" t="inlineStr">
        <is>
          <t>Não fiz nova busca porque a cota acabou. O original se apoia em fatos amplamente documentados (as condenações e a anulação em 2021) e cita fontes noticiosas adequadas. Concordo com o veredito.</t>
        </is>
      </c>
    </row>
    <row r="55">
      <c r="A55" s="21" t="inlineStr">
        <is>
          <t>F54</t>
        </is>
      </c>
      <c r="B55" s="21" t="inlineStr">
        <is>
          <t>Flávio</t>
        </is>
      </c>
      <c r="C55" s="21" t="inlineStr">
        <is>
          <t>Lula prometeu não decretar sigilo de 100 anos e decretou; prometeu não indicar amigos ao STF e indicou.</t>
        </is>
      </c>
      <c r="D55" s="21" t="inlineStr">
        <is>
          <t>Verdadeiro, mas impreciso</t>
        </is>
      </c>
      <c r="E55" s="21" t="inlineStr">
        <is>
          <t>Verdadeiro, mas impreciso</t>
        </is>
      </c>
      <c r="F55" s="21" t="inlineStr">
        <is>
          <t>Sim</t>
        </is>
      </c>
      <c r="G55" s="21" t="inlineStr">
        <is>
          <t>REAVALIADO SEM FONTES ENVIESADAS. Saíram dados que só vinham de lá, como 'advogado da família desde 2013' e as críticas de aliados. Os números de sigilo agora vêm de O Povo/O Globo. Revisor: Abri O Povo, Observador, O Tempo e Agência Brasil, e as quatro confirmam o que o agente alega. Não conferi o link do Senado Notícias, mas ele é redundante com a Agência Brasil. Nenhum dado depende de fonte excluída. O resultado é coerente.</t>
        </is>
      </c>
    </row>
    <row r="56">
      <c r="A56" s="21" t="inlineStr">
        <is>
          <t>F55</t>
        </is>
      </c>
      <c r="B56" s="21" t="inlineStr">
        <is>
          <t>Flávio</t>
        </is>
      </c>
      <c r="C56" s="21" t="inlineStr">
        <is>
          <t>Lula mantém sigilo sobre os registros de entrada no Palácio da Alvorada e sobre gastos do cartão corporativo.</t>
        </is>
      </c>
      <c r="D56" s="21" t="inlineStr">
        <is>
          <t>Verdadeiro, mas impreciso</t>
        </is>
      </c>
      <c r="E56" s="21" t="inlineStr">
        <is>
          <t>Verdadeiro, mas impreciso</t>
        </is>
      </c>
      <c r="F56" s="21" t="inlineStr">
        <is>
          <t>Sim</t>
        </is>
      </c>
      <c r="G56" s="21" t="inlineStr">
        <is>
          <t>RECHECADO (2ª rodada). Concordo com a análise anterior e acrescentei o dado da Veja/TCU de julho de 2025 (99,55% sigiloso). Não consegui abrir o link da Veja, porque o domínio bloqueou o acesso. A parte do Alvorada continua sem verificação por falta de buscas.</t>
        </is>
      </c>
    </row>
    <row r="57">
      <c r="A57" s="21" t="inlineStr">
        <is>
          <t>F56</t>
        </is>
      </c>
      <c r="B57" s="21" t="inlineStr">
        <is>
          <t>Flávio</t>
        </is>
      </c>
      <c r="C57" s="21" t="inlineStr">
        <is>
          <t>Flávio Bolsonaro nunca foi investigado por envolvimento com milícia.</t>
        </is>
      </c>
      <c r="D57" s="21" t="inlineStr">
        <is>
          <t>Verdadeiro, mas impreciso</t>
        </is>
      </c>
      <c r="E57" s="21" t="inlineStr">
        <is>
          <t>Verdadeiro, mas impreciso</t>
        </is>
      </c>
      <c r="F57" s="21" t="inlineStr">
        <is>
          <t>Sim</t>
        </is>
      </c>
      <c r="G57" s="21" t="inlineStr">
        <is>
          <t>RECHECADO (2ª rodada). Concordo com o veredito anterior. Acrescentei a reportagem de março de 2026 sobre a denúncia contra a ex-assessora ligada a Adriano, as homenagens de 2003 e 2005 e a data do arquivamento (maio de 2022). Não abri nenhum desses links, porque as buscas acabaram e O Globo, Estadão e UOL bloquearam o WebFetch. O ConJur é portal jurídico especializado.</t>
        </is>
      </c>
    </row>
    <row r="58">
      <c r="A58" s="21" t="inlineStr">
        <is>
          <t>L01</t>
        </is>
      </c>
      <c r="B58" s="21" t="inlineStr">
        <is>
          <t>Lula</t>
        </is>
      </c>
      <c r="C58" s="21" t="inlineStr">
        <is>
          <t>O Novo PAC anunciou R$ 1,7 trilhão em investimentos, dos quais quase R$ 800 bilhões já foram executados; nunca se investiu tanto em infraestrutura na história.</t>
        </is>
      </c>
      <c r="D58" s="21" t="inlineStr">
        <is>
          <t>Exagerado</t>
        </is>
      </c>
      <c r="E58" s="21" t="inlineStr">
        <is>
          <t>Exagerado</t>
        </is>
      </c>
      <c r="F58" s="21" t="inlineStr">
        <is>
          <t>Sim</t>
        </is>
      </c>
      <c r="G58" s="21" t="inlineStr">
        <is>
          <t>Concordo com o veredito. Confirmei os R$ 1,7 tri e acrescentei a comparação com PAC 1 e PAC 2, que derruba o superlativo para o investimento público. Na página oficial, a carteira atual aparece como R$ 1,9 tri, e o Orçamento da União pagou R$ 117,7 bi de 2023 a 2025. Não consegui confirmar os R$ 711 bi executados que a pesquisa original citou sem link nem o número de ~R$ 800 bi. O limite de buscas da sessão acabou, então só pude abrir links diretos.</t>
        </is>
      </c>
    </row>
    <row r="59">
      <c r="A59" s="21" t="inlineStr">
        <is>
          <t>L02</t>
        </is>
      </c>
      <c r="B59" s="21" t="inlineStr">
        <is>
          <t>Lula</t>
        </is>
      </c>
      <c r="C59" s="21" t="inlineStr">
        <is>
          <t>O governo Lula herdou cerca de 6.000 obras paradas.</t>
        </is>
      </c>
      <c r="D59" s="21" t="inlineStr">
        <is>
          <t>Verdadeiro, mas impreciso</t>
        </is>
      </c>
      <c r="E59" s="21" t="inlineStr">
        <is>
          <t>Verdadeiro, mas impreciso</t>
        </is>
      </c>
      <c r="F59" s="21" t="inlineStr">
        <is>
          <t>Sim</t>
        </is>
      </c>
      <c r="G59" s="21" t="inlineStr">
        <is>
          <t>Concordo. Acrescentei o dado do TCU sobre os PACs (5.344 inacabadas, 2.688 paradas), que confirma que o número depende da base de contagem. As fontes da pesquisa original são jornalísticas e nenhuma é agência de checagem.</t>
        </is>
      </c>
    </row>
    <row r="60">
      <c r="A60" s="21" t="inlineStr">
        <is>
          <t>L03</t>
        </is>
      </c>
      <c r="B60" s="21" t="inlineStr">
        <is>
          <t>Lula</t>
        </is>
      </c>
      <c r="C60" s="21" t="inlineStr">
        <is>
          <t>O governo está fazendo a BR-319 (Porto Velho–Manaus), a Transnordestina, a FIOL e a FICO, e financia o túnel Santos–Guarujá com orçamento federal e BNDES.</t>
        </is>
      </c>
      <c r="D60" s="21" t="inlineStr">
        <is>
          <t>Verdadeiro, mas impreciso</t>
        </is>
      </c>
      <c r="E60" s="21" t="inlineStr">
        <is>
          <t>Verdadeiro, mas impreciso</t>
        </is>
      </c>
      <c r="F60" s="21" t="inlineStr">
        <is>
          <t>Sim</t>
        </is>
      </c>
      <c r="G60" s="21" t="inlineStr">
        <is>
          <t>RECHECADO (3ª rodada). Concordo com o veredito e com o essencial da análise, mas corrijo um ponto. O BNDES não "chegou a anunciar a aprovação" de crédito para o túnel: segundo a CNN Brasil, o banco negou o pedido de R$ 2,57 bilhões. A aprovação de R$ 2,4 bilhões era para a Linha 2-Verde do metrô. Abri e confirmei as fontes da CNN, do Poder360, da Agência Câmara e da Agência iNFRA. O valor de R$ 678 milhões da BR-319 aparece na matéria ?p=38808, e não na ?p=39597. A Agência Câmara cita "R$ 6 bilhões de investimento federal", número que diverge dos R$ 2,5 bilhões do Poder360. Os dados de FIOL e FICO continuam sendo de 2025 e não foram reverificados. A busca na web estava bloqueada pelo limite da sessão.</t>
        </is>
      </c>
    </row>
    <row r="61">
      <c r="A61" s="21" t="inlineStr">
        <is>
          <t>L04</t>
        </is>
      </c>
      <c r="B61" s="21" t="inlineStr">
        <is>
          <t>Lula</t>
        </is>
      </c>
      <c r="C61" s="21" t="inlineStr">
        <is>
          <t>Dom Pedro tentou fazer a transposição do São Francisco em 1846 e não conseguiu.</t>
        </is>
      </c>
      <c r="D61" s="21" t="inlineStr">
        <is>
          <t>Verdadeiro, mas impreciso</t>
        </is>
      </c>
      <c r="E61" s="21" t="inlineStr">
        <is>
          <t>Verdadeiro, mas impreciso</t>
        </is>
      </c>
      <c r="F61" s="21" t="inlineStr">
        <is>
          <t>Sim</t>
        </is>
      </c>
      <c r="G61" s="21" t="inlineStr">
        <is>
          <t>Concordo com a pesquisa original. As fontes são jornalísticas (Agência Pública e O Povo). Não fiz busca nova porque o limite acabou; mantive o veredito com base nessas fontes e em fatos históricos conhecidos.</t>
        </is>
      </c>
    </row>
    <row r="62">
      <c r="A62" s="21" t="inlineStr">
        <is>
          <t>L05</t>
        </is>
      </c>
      <c r="B62" s="21" t="inlineStr">
        <is>
          <t>Lula</t>
        </is>
      </c>
      <c r="C62" s="21" t="inlineStr">
        <is>
          <t>Sem a política de valorização do salário mínimo dos governos do PT, o mínimo seria hoje de apenas cerca de R$ 900 (em vez de ~R$ 1.600).</t>
        </is>
      </c>
      <c r="D62" s="21" t="inlineStr">
        <is>
          <t>Verdadeiro, mas impreciso</t>
        </is>
      </c>
      <c r="E62" s="21" t="inlineStr">
        <is>
          <t>Verdadeiro, mas impreciso</t>
        </is>
      </c>
      <c r="F62" s="21" t="inlineStr">
        <is>
          <t>Sim</t>
        </is>
      </c>
      <c r="G62" s="21" t="inlineStr">
        <is>
          <t>Concordo. A metodologia da extrapolação é razoável e a pesquisa deixa claro que a conta é dela. Não pude refazer a busca porque o limite acabou. Uma ressalva: parte dos ganhos reais aconteceu fora dos governos do PT, e a regra de valorização ficou suspensa entre 2020 e 2022.</t>
        </is>
      </c>
    </row>
    <row r="63">
      <c r="A63" s="21" t="inlineStr">
        <is>
          <t>L06</t>
        </is>
      </c>
      <c r="B63" s="21" t="inlineStr">
        <is>
          <t>Lula</t>
        </is>
      </c>
      <c r="C63" s="21" t="inlineStr">
        <is>
          <t>Foi aprovado o fim da escala 6x1.</t>
        </is>
      </c>
      <c r="D63" s="21" t="inlineStr">
        <is>
          <t>Verdadeiro</t>
        </is>
      </c>
      <c r="E63" s="21" t="inlineStr">
        <is>
          <t>Verdadeiro</t>
        </is>
      </c>
      <c r="F63" s="21" t="inlineStr">
        <is>
          <t>Sim</t>
        </is>
      </c>
      <c r="G63" s="21" t="inlineStr">
        <is>
          <t>REAVALIADO SEM FONTES ENVIESADAS. Saiu a observação sobre a data da promulgação, que só vinha da Gazeta do Povo, excluída. O veredito e a confiança continuam os mesmos. Revisor: Abri O Povo e confirmei o placar, a data, o número da PEC, o voto de Mourão, a aprovação na Câmara, a transição e o envio à promulgação. Ajustei a redação da transição para 'cerca de um ano após a etapa de 42 h', como diz a fonte. Não há dado vindo de fonte excluída. O resultado é coerente.</t>
        </is>
      </c>
    </row>
    <row r="64">
      <c r="A64" s="21" t="inlineStr">
        <is>
          <t>L07</t>
        </is>
      </c>
      <c r="B64" s="21" t="inlineStr">
        <is>
          <t>Lula</t>
        </is>
      </c>
      <c r="C64" s="21" t="inlineStr">
        <is>
          <t>Nunca se exportou tanto; o governo abriu cerca de 700 novos mercados e teve superávit comercial recorde.</t>
        </is>
      </c>
      <c r="D64" s="21" t="inlineStr">
        <is>
          <t>Verdadeiro, mas impreciso</t>
        </is>
      </c>
      <c r="E64" s="21" t="inlineStr">
        <is>
          <t>Verdadeiro, mas impreciso</t>
        </is>
      </c>
      <c r="F64" s="21" t="inlineStr">
        <is>
          <t>Sim</t>
        </is>
      </c>
      <c r="G64" s="21" t="inlineStr">
        <is>
          <t>Concordo. Abri as fontes e elas confirmam o recorde de exportações, a queda do superávit em 2024 e 2025 e que o número de 700 é uma afirmação do ministro sobre aberturas de produtos do agro.</t>
        </is>
      </c>
    </row>
    <row r="65">
      <c r="A65" s="21" t="inlineStr">
        <is>
          <t>L08</t>
        </is>
      </c>
      <c r="B65" s="21" t="inlineStr">
        <is>
          <t>Lula</t>
        </is>
      </c>
      <c r="C65" s="21" t="inlineStr">
        <is>
          <t>Lula tinha acabado com a fome no país (saída do Mapa da Fome) e quando voltou em 2023 havia 33 milhões de pessoas passando fome.</t>
        </is>
      </c>
      <c r="D65" s="21" t="inlineStr">
        <is>
          <t>Verdadeiro, mas impreciso</t>
        </is>
      </c>
      <c r="E65" s="21" t="inlineStr">
        <is>
          <t>Verdadeiro, mas impreciso</t>
        </is>
      </c>
      <c r="F65" s="21" t="inlineStr">
        <is>
          <t>Sim</t>
        </is>
      </c>
      <c r="G65" s="21" t="inlineStr">
        <is>
          <t>Abri o Correio Braziliense e ele confirma 33 milhões, 125,2 milhões em insegurança alimentar e coleta entre nov/2021 e abr/2022 (12.745 domicílios). Acrescentei que o dado é anterior à posse de 2023. O limite de buscas acabou e não achei de novo a fonte da estimativa da FAO de cerca de 15 milhões. Ela vem da pesquisa original e da memória.</t>
        </is>
      </c>
    </row>
    <row r="66">
      <c r="A66" s="21" t="inlineStr">
        <is>
          <t>L09</t>
        </is>
      </c>
      <c r="B66" s="21" t="inlineStr">
        <is>
          <t>Lula</t>
        </is>
      </c>
      <c r="C66" s="21" t="inlineStr">
        <is>
          <t>Na Argentina de Milei a pobreza chegou a 40% e o povo está comendo carne de burro.</t>
        </is>
      </c>
      <c r="D66" s="21" t="inlineStr">
        <is>
          <t>Exagerado</t>
        </is>
      </c>
      <c r="E66" s="21" t="inlineStr">
        <is>
          <t>Exagerado</t>
        </is>
      </c>
      <c r="F66" s="21" t="inlineStr">
        <is>
          <t>Sim</t>
        </is>
      </c>
      <c r="G66" s="21" t="inlineStr">
        <is>
          <t>REAVALIADO SEM FONTES ENVIESADAS. A Gazeta do Povo (excluída) deixou de ser usada. O El Diario (Equador) confirma que a iniciativa da carne de burro é pequena e local, e o La Capital e a Bloomberg Línea confirmam a série do INDEC. O veredito continua o mesmo. Revisor: Abri o La Capital, a Bloomberg Línea e o El Diario: os três confirmam os números e os detalhes citados. Nenhum dado depende de fonte excluída.</t>
        </is>
      </c>
    </row>
    <row r="67">
      <c r="A67" s="34" t="inlineStr">
        <is>
          <t>L10</t>
        </is>
      </c>
      <c r="B67" s="34" t="inlineStr">
        <is>
          <t>Lula</t>
        </is>
      </c>
      <c r="C67" s="34" t="inlineStr">
        <is>
          <t>A região Sul é a que proporcionalmente tem mais aposentados no Brasil.</t>
        </is>
      </c>
      <c r="D67" s="34" t="inlineStr">
        <is>
          <t>Verdadeiro</t>
        </is>
      </c>
      <c r="E67" s="34" t="inlineStr">
        <is>
          <t>Verdadeiro</t>
        </is>
      </c>
      <c r="F67" s="34" t="inlineStr">
        <is>
          <t>Não</t>
        </is>
      </c>
      <c r="G67" s="34" t="inlineStr">
        <is>
          <t>RECHECADO (2ª rodada). Os agentes da 2ª rodada esgotaram o limite de buscas; a rechecagem foi concluída na verificação final, com buscas próprias em portais de notícias e dados oficiais.</t>
        </is>
      </c>
    </row>
    <row r="68">
      <c r="A68" s="21" t="inlineStr">
        <is>
          <t>L11</t>
        </is>
      </c>
      <c r="B68" s="21" t="inlineStr">
        <is>
          <t>Lula</t>
        </is>
      </c>
      <c r="C68" s="21" t="inlineStr">
        <is>
          <t>Bolsonaro apareceu na televisão rindo e imitando pessoa morrendo asfixiada por falta de oxigênio (crise de Manaus).</t>
        </is>
      </c>
      <c r="D68" s="21" t="inlineStr">
        <is>
          <t>Verdadeiro, mas impreciso</t>
        </is>
      </c>
      <c r="E68" s="21" t="inlineStr">
        <is>
          <t>Verdadeiro, mas impreciso</t>
        </is>
      </c>
      <c r="F68" s="21" t="inlineStr">
        <is>
          <t>Sim</t>
        </is>
      </c>
      <c r="G68" s="21" t="inlineStr">
        <is>
          <t>Abri as duas fontes. Elas tratam de Manaus (14 e 15/01/2021) e não falam de imitação, então servem só para mostrar que não houve imitação naquele momento. O limite de buscas acabou e não consegui uma reportagem que confirme a data da imitação (março de 2021, pela memória). A existência do episódio continua sem fonte aberta nesta revisão.</t>
        </is>
      </c>
    </row>
    <row r="69">
      <c r="A69" s="21" t="inlineStr">
        <is>
          <t>L12</t>
        </is>
      </c>
      <c r="B69" s="21" t="inlineStr">
        <is>
          <t>Lula</t>
        </is>
      </c>
      <c r="C69" s="21" t="inlineStr">
        <is>
          <t>O ministro do Meio Ambiente de Bolsonaro defendia 'passar a boiada' e o governo Bolsonaro paralisou o Fundo Amazônia, que Lula reativou.</t>
        </is>
      </c>
      <c r="D69" s="21" t="inlineStr">
        <is>
          <t>Verdadeiro</t>
        </is>
      </c>
      <c r="E69" s="21" t="inlineStr">
        <is>
          <t>Verdadeiro</t>
        </is>
      </c>
      <c r="F69" s="21" t="inlineStr">
        <is>
          <t>Sim</t>
        </is>
      </c>
      <c r="G69" s="21" t="inlineStr">
        <is>
          <t>Abri o SBT News, que confirma ADO 59, a votação de 10 a 1, os R$ 3,2 bilhões e o Decreto 9.759/2019. A CNN confirma a extinção do comitê e o bloqueio dos repasses de Noruega e Alemanha, mas não cita o valor. Há um contexto que faltou: em 2020 Mourão anunciou que reativaria o fundo, mas ele não voltou a funcionar de fato.</t>
        </is>
      </c>
    </row>
    <row r="70">
      <c r="A70" s="21" t="inlineStr">
        <is>
          <t>L13</t>
        </is>
      </c>
      <c r="B70" s="21" t="inlineStr">
        <is>
          <t>Lula</t>
        </is>
      </c>
      <c r="C70" s="21" t="inlineStr">
        <is>
          <t>A transposição do São Francisco é a maior obra hídrica em funcionamento no mundo, com quase 1.700 km de canais e 15.000 km de adutoras.</t>
        </is>
      </c>
      <c r="D70" s="21" t="inlineStr">
        <is>
          <t>Exagerado</t>
        </is>
      </c>
      <c r="E70" s="21" t="inlineStr">
        <is>
          <t>Exagerado</t>
        </is>
      </c>
      <c r="F70" s="21" t="inlineStr">
        <is>
          <t>Sim</t>
        </is>
      </c>
      <c r="G70" s="21" t="inlineStr">
        <is>
          <t>Abri a página do MIDR e ela confirma os 477 km e o Ramal do Apodi com 115,5 km. Correção: a página não usa nem a expressão 'maior obra hídrica do país' que a pesquisa original atribuiu a ela. A obra é grande de fato, mas os números ditos estão inflados.</t>
        </is>
      </c>
    </row>
    <row r="71">
      <c r="A71" s="21" t="inlineStr">
        <is>
          <t>L14</t>
        </is>
      </c>
      <c r="B71" s="21" t="inlineStr">
        <is>
          <t>Lula</t>
        </is>
      </c>
      <c r="C71" s="21" t="inlineStr">
        <is>
          <t>O governo levou supercomputador para Natal, computador quântico para a Paraíba, um campus do ITA para o Ceará (estado que mais aprova no ITA) e fábricas de automóveis para Pernambuco, Bahia e Ceará.</t>
        </is>
      </c>
      <c r="D71" s="21" t="inlineStr">
        <is>
          <t>Verdadeiro, mas impreciso</t>
        </is>
      </c>
      <c r="E71" s="21" t="inlineStr">
        <is>
          <t>Verdadeiro, mas impreciso</t>
        </is>
      </c>
      <c r="F71" s="21" t="inlineStr">
        <is>
          <t>Sim</t>
        </is>
      </c>
      <c r="G71" s="21" t="inlineStr">
        <is>
          <t>RECHECADO (3ª rodada). Concordo com o veredito "Verdadeiro, mas impreciso". Correção em relação ao outro agente: o computador quântico na Paraíba agora tem base jornalística. É o centro Ciquanta, em João Pessoa, com R$ 60 milhões federais e R$ 140 milhões estaduais e montagem prevista até outubro de 2026. Na fonte da Agência Brasil sobre o supercomputador, os dados alegados pelo outro agente conferem. A terceira consulta WebSearch foi recusada por limite de buscas, por isso não reconfirmei a fábrica de Horizonte (CE). Descartei as fontes que eram só páginas de tags da Agência Brasil e não continham o fato. A confiança fica em Média porque não há confirmação de que o computador quântico está operando e porque a fábrica do Ceará não foi reconfirmada.</t>
        </is>
      </c>
    </row>
    <row r="72">
      <c r="A72" s="21" t="inlineStr">
        <is>
          <t>L15</t>
        </is>
      </c>
      <c r="B72" s="21" t="inlineStr">
        <is>
          <t>Lula</t>
        </is>
      </c>
      <c r="C72" s="21" t="inlineStr">
        <is>
          <t>O governo fez 14 novos hospitais e 40 novos institutos federais/universidades no Nordeste.</t>
        </is>
      </c>
      <c r="D72" s="21" t="inlineStr">
        <is>
          <t>Exagerado</t>
        </is>
      </c>
      <c r="E72" s="21" t="inlineStr">
        <is>
          <t>Exagerado</t>
        </is>
      </c>
      <c r="F72" s="21" t="inlineStr">
        <is>
          <t>Sim</t>
        </is>
      </c>
      <c r="G72" s="21" t="inlineStr">
        <is>
          <t>RECHECADO (2ª rodada). Abri as fontes da Folha PE e do Correio da Manhã, e elas confirmam o que o outro agente disse (14 hospitais já existentes; 38 novos campi de institutos no Nordeste, previstos para 2026). Mantenho o veredito. A confiança fica Média porque não houve buscas para checar quantas obras foram entregues em 2025/2026.</t>
        </is>
      </c>
    </row>
    <row r="73">
      <c r="A73" s="21" t="inlineStr">
        <is>
          <t>L16</t>
        </is>
      </c>
      <c r="B73" s="21" t="inlineStr">
        <is>
          <t>Lula</t>
        </is>
      </c>
      <c r="C73" s="21" t="inlineStr">
        <is>
          <t>Flávio Bolsonaro foi o único deputado estadual do RJ a votar contra o aumento da licença-maternidade.</t>
        </is>
      </c>
      <c r="D73" s="21" t="inlineStr">
        <is>
          <t>Verdadeiro</t>
        </is>
      </c>
      <c r="E73" s="21" t="inlineStr">
        <is>
          <t>Verdadeiro</t>
        </is>
      </c>
      <c r="F73" s="21" t="inlineStr">
        <is>
          <t>Sim</t>
        </is>
      </c>
      <c r="G73" s="21" t="inlineStr">
        <is>
          <t>VERSÃO COM FONTES FILTRADAS: a reportagem do ICL Notícias foi retirada. O veredito se apoia na admissão do próprio Flávio no debate e na reportagem do A Crítica; o detalhe "único voto" não foi conferido em documento oficial da Alerj, por isso a confiança é média.</t>
        </is>
      </c>
    </row>
    <row r="74">
      <c r="A74" s="21" t="inlineStr">
        <is>
          <t>L17</t>
        </is>
      </c>
      <c r="B74" s="21" t="inlineStr">
        <is>
          <t>Lula</t>
        </is>
      </c>
      <c r="C74" s="21" t="inlineStr">
        <is>
          <t>Flávio Bolsonaro chamou o Bolsa Família de 'Bolsa Farelo'.</t>
        </is>
      </c>
      <c r="D74" s="21" t="inlineStr">
        <is>
          <t>Verdadeiro</t>
        </is>
      </c>
      <c r="E74" s="21" t="inlineStr">
        <is>
          <t>Verdadeiro</t>
        </is>
      </c>
      <c r="F74" s="21" t="inlineStr">
        <is>
          <t>Sim</t>
        </is>
      </c>
      <c r="G74" s="21" t="inlineStr">
        <is>
          <t>Confirmei na matéria do DGABC/Estadão. Um detalhe de contexto: o post de 2011 se referia ao Renda Melhor, programa complementar ao Bolsa Família. O de 2013 associava o termo ao programa federal do PT.</t>
        </is>
      </c>
    </row>
    <row r="75">
      <c r="A75" s="21" t="inlineStr">
        <is>
          <t>L18</t>
        </is>
      </c>
      <c r="B75" s="21" t="inlineStr">
        <is>
          <t>Lula</t>
        </is>
      </c>
      <c r="C75" s="21" t="inlineStr">
        <is>
          <t>O Brasil só teve sua primeira universidade cerca de 420 anos depois do descobrimento.</t>
        </is>
      </c>
      <c r="D75" s="21" t="inlineStr">
        <is>
          <t>Verdadeiro</t>
        </is>
      </c>
      <c r="E75" s="21" t="inlineStr">
        <is>
          <t>Verdadeiro</t>
        </is>
      </c>
      <c r="F75" s="21" t="inlineStr">
        <is>
          <t>Sim</t>
        </is>
      </c>
      <c r="G75" s="21" t="inlineStr">
        <is>
          <t>A Agência Brasil confirma o ano de 1920, mas o trecho que li não cita o decreto. O número do decreto (14.343) que a pesquisa original apresenta não foi verificado por mim. Descartei a fonte Tupi FM, que é irrelevante.</t>
        </is>
      </c>
    </row>
    <row r="76">
      <c r="A76" s="21" t="inlineStr">
        <is>
          <t>L19</t>
        </is>
      </c>
      <c r="B76" s="21" t="inlineStr">
        <is>
          <t>Lula</t>
        </is>
      </c>
      <c r="C76" s="21" t="inlineStr">
        <is>
          <t>O governo concedeu perdão de quase R$ 15 bilhões em dívidas ativas para cerca de 4,5 milhões de devedores (MEI).</t>
        </is>
      </c>
      <c r="D76" s="21" t="inlineStr">
        <is>
          <t>Verdadeiro, mas impreciso</t>
        </is>
      </c>
      <c r="E76" s="21" t="inlineStr">
        <is>
          <t>Verdadeiro, mas impreciso</t>
        </is>
      </c>
      <c r="F76" s="21" t="inlineStr">
        <is>
          <t>Sim</t>
        </is>
      </c>
      <c r="G76" s="21" t="inlineStr">
        <is>
          <t>Confirmei a sanção, os 3,6 milhões de beneficiários e os R$ 18,7 bilhões (DGABC/Secom) e os R$ 12,6 bilhões (O Liberal/Ministério). Na sanção, o próprio Lula falou em 'quase 4 milhões'. Os 4,5 milhões podem ser erro da transcrição automática, mas os números continuam inexatos. Descartei a Agência Sebrae como fonte principal, porque não é portal jornalístico nem órgão de governo.</t>
        </is>
      </c>
    </row>
    <row r="77">
      <c r="A77" s="21" t="inlineStr">
        <is>
          <t>L20</t>
        </is>
      </c>
      <c r="B77" s="21" t="inlineStr">
        <is>
          <t>Lula</t>
        </is>
      </c>
      <c r="C77" s="21" t="inlineStr">
        <is>
          <t>Lula herdou a Selic em 13,75%; em seus mandatos anteriores manteve o mesmo presidente do Banco Central por 8 anos, enquanto FHC trocou quatro vezes.</t>
        </is>
      </c>
      <c r="D77" s="21" t="inlineStr">
        <is>
          <t>Verdadeiro, mas impreciso</t>
        </is>
      </c>
      <c r="E77" s="21" t="inlineStr">
        <is>
          <t>Verdadeiro, mas impreciso</t>
        </is>
      </c>
      <c r="F77" s="21" t="inlineStr">
        <is>
          <t>Sim</t>
        </is>
      </c>
      <c r="G77" s="21" t="inlineStr">
        <is>
          <t>Não consegui confirmar estes dados numa fonte: a página do BCB não trouxe o valor e a galeria de presidentes deu erro 404. O limite de buscas também estava esgotado. Os fatos são amplamente conhecidos e concordo com o veredito. Acrescento a nuance de que contar a transição de Malan pode justificar 'quatro'.</t>
        </is>
      </c>
    </row>
    <row r="78">
      <c r="A78" s="21" t="inlineStr">
        <is>
          <t>L21</t>
        </is>
      </c>
      <c r="B78" s="21" t="inlineStr">
        <is>
          <t>Lula</t>
        </is>
      </c>
      <c r="C78" s="21" t="inlineStr">
        <is>
          <t>A economia não crescia acima de 3% desde que Lula deixou a presidência em 2010, e voltou a crescer nesse ritmo no seu governo.</t>
        </is>
      </c>
      <c r="D78" s="21" t="inlineStr">
        <is>
          <t>Falso</t>
        </is>
      </c>
      <c r="E78" s="21" t="inlineStr">
        <is>
          <t>Falso</t>
        </is>
      </c>
      <c r="F78" s="21" t="inlineStr">
        <is>
          <t>Sim</t>
        </is>
      </c>
      <c r="G78" s="21" t="inlineStr">
        <is>
          <t>REAVALIADO SEM FONTES ENVIESADAS. A Jovem Pan (excluída) foi substituída pelo Metrópoles para o PIB de 2021 (4,8%) e pela Agência Brasil para o de 2011 (3,9% na série revisada, antes 'cerca de 4,0%'). O veredito continua o mesmo. Revisor: Retirei a Agência Gov da lista de fontes: a página está desativada por causa da legislação eleitoral e não pôde ser confirmada. Também retirei a Exame, que não foi conferida. O Metrópoles confirma o PIB de 2021 (de 5,0% revisado para 4,8%), e a Agência Brasil confirma os 3,9% de 2011. O Congresso em Foco confirma 3,2% em 2023 e 3,4% em 2024, o maior desde 2021.</t>
        </is>
      </c>
    </row>
    <row r="79">
      <c r="A79" s="21" t="inlineStr">
        <is>
          <t>L22</t>
        </is>
      </c>
      <c r="B79" s="21" t="inlineStr">
        <is>
          <t>Lula</t>
        </is>
      </c>
      <c r="C79" s="21" t="inlineStr">
        <is>
          <t>Um integrante escolhido da equipe de Flávio disse publicamente que não vai colocar dinheiro no SUS e que pretende privatizar/cobrar pelo SUS.</t>
        </is>
      </c>
      <c r="D79" s="21" t="inlineStr">
        <is>
          <t>Sem evidência</t>
        </is>
      </c>
      <c r="E79" s="21" t="inlineStr">
        <is>
          <t>Sem evidência</t>
        </is>
      </c>
      <c r="F79" s="21" t="inlineStr">
        <is>
          <t>Sim</t>
        </is>
      </c>
      <c r="G79" s="21" t="inlineStr">
        <is>
          <t>REAVALIADO SEM FONTES ENVIESADAS. A Jovem Pan (excluída) deixou de ser usada. A página da Band não pôde ser confirmada, por isso as perguntas retóricas atribuídas a ela saíram da explicação. O Poder360 e O Liberal sustentam o mesmo veredito. Revisor: Abri o Poder360 e O Liberal: os dois confirmam o que o agente alegou. Nenhum dado vem de fonte excluída. Não abri a Agência Brasil, e ela não é necessária para o veredito.</t>
        </is>
      </c>
    </row>
    <row r="80">
      <c r="A80" s="21" t="inlineStr">
        <is>
          <t>L23</t>
        </is>
      </c>
      <c r="B80" s="21" t="inlineStr">
        <is>
          <t>Lula</t>
        </is>
      </c>
      <c r="C80" s="21" t="inlineStr">
        <is>
          <t>Cerca de 700 mil pessoas morreram de Covid no governo Bolsonaro, que ignorou a ciência; seria possível ter salvado pelo menos metade.</t>
        </is>
      </c>
      <c r="D80" s="21" t="inlineStr">
        <is>
          <t>Verdadeiro, mas impreciso</t>
        </is>
      </c>
      <c r="E80" s="21" t="inlineStr">
        <is>
          <t>Verdadeiro, mas impreciso</t>
        </is>
      </c>
      <c r="F80" s="21" t="inlineStr">
        <is>
          <t>Sim</t>
        </is>
      </c>
      <c r="G80" s="21" t="inlineStr">
        <is>
          <t>Concordo com o original. A Band confirma o total atual de cerca de 716 mil mortes, coerente com cerca de 693 mil até o fim de 2022. Não consegui fazer uma busca nova sobre a fração evitável porque o limite de buscas acabou. As fontes são oficiais.</t>
        </is>
      </c>
    </row>
    <row r="81">
      <c r="A81" s="21" t="inlineStr">
        <is>
          <t>L24</t>
        </is>
      </c>
      <c r="B81" s="21" t="inlineStr">
        <is>
          <t>Lula</t>
        </is>
      </c>
      <c r="C81" s="21" t="inlineStr">
        <is>
          <t>Bolsonaro disse que quem tomasse vacina poderia virar jacaré e promoveu a cloroquina.</t>
        </is>
      </c>
      <c r="D81" s="21" t="inlineStr">
        <is>
          <t>Verdadeiro</t>
        </is>
      </c>
      <c r="E81" s="21" t="inlineStr">
        <is>
          <t>Verdadeiro</t>
        </is>
      </c>
      <c r="F81" s="21" t="inlineStr">
        <is>
          <t>Sim</t>
        </is>
      </c>
      <c r="G81" s="21" t="inlineStr">
        <is>
          <t>Concordo. São fatos públicos e bem documentados pela imprensa e pela CPI. Não refiz a busca porque o limite de buscas acabou.</t>
        </is>
      </c>
    </row>
    <row r="82">
      <c r="A82" s="34" t="inlineStr">
        <is>
          <t>L25</t>
        </is>
      </c>
      <c r="B82" s="34" t="inlineStr">
        <is>
          <t>Lula</t>
        </is>
      </c>
      <c r="C82" s="34" t="inlineStr">
        <is>
          <t>O Desenrola 1 atendeu 15 milhões de pessoas e o segundo quase 16 milhões; o novo programa prevê leilão de mais de R$ 50 bilhões para comprar dívidas com descontos de 90% a 95%.</t>
        </is>
      </c>
      <c r="D82" s="34" t="inlineStr">
        <is>
          <t>Sem evidência</t>
        </is>
      </c>
      <c r="E82" s="34" t="inlineStr">
        <is>
          <t>Verdadeiro, mas impreciso</t>
        </is>
      </c>
      <c r="F82" s="34" t="inlineStr">
        <is>
          <t>Não</t>
        </is>
      </c>
      <c r="G82" s="34" t="inlineStr">
        <is>
          <t>Corrigi o veredito de 'Sem evidência' para 'Verdadeiro, mas impreciso'. Encontrei na Agência Brasil e no Ministério da Fazenda os números que faltaram ao original. Confirmei os 15 milhões da fase 1, o leilão e os descontos de 90% a 95%. O erro está na fase 2: são 10 milhões de pessoas, não quase 16 milhões (pode ser erro da transcrição automática, mas o número dito não bate).</t>
        </is>
      </c>
    </row>
    <row r="83">
      <c r="A83" s="21" t="inlineStr">
        <is>
          <t>L26</t>
        </is>
      </c>
      <c r="B83" s="21" t="inlineStr">
        <is>
          <t>Lula</t>
        </is>
      </c>
      <c r="C83" s="21" t="inlineStr">
        <is>
          <t>O governo Lula acabou com as bets.</t>
        </is>
      </c>
      <c r="D83" s="21" t="inlineStr">
        <is>
          <t>Verdadeiro, mas impreciso</t>
        </is>
      </c>
      <c r="E83" s="21" t="inlineStr">
        <is>
          <t>Verdadeiro, mas impreciso</t>
        </is>
      </c>
      <c r="F83" s="21" t="inlineStr">
        <is>
          <t>Sim</t>
        </is>
      </c>
      <c r="G83" s="21" t="inlineStr">
        <is>
          <t>REAVALIADO SEM FONTES ENVIESADAS. Nada mudou no resultado. O dado da Gazeta do Povo (excluída) não é necessário: o Diário de Pernambuco e o Congresso em Foco confirmam a MP, as proibições, os prazos, as autorizações e o pedido ao STF. Revisor: Abri as duas fontes. O Diário de Pernambuco traz os prazos de 5/10 e 6/10, o Tigrinho e a exclusão das loterias. O Congresso em Foco traz a proibição imediata de depósitos e as ADIs relatadas por Fux. Fiz um ajuste: o outro agente escreveu que o pedido 'ainda não foi decidido', mas as fontes são de 28/09 e não permitem afirmar isso hoje. Troquei por 'as fontes não registram decisão'. Nenhum dado vem de fonte excluída.</t>
        </is>
      </c>
    </row>
    <row r="84">
      <c r="A84" s="21" t="inlineStr">
        <is>
          <t>L27</t>
        </is>
      </c>
      <c r="B84" s="21" t="inlineStr">
        <is>
          <t>Lula</t>
        </is>
      </c>
      <c r="C84" s="21" t="inlineStr">
        <is>
          <t>O 'tigrinho' (apostas online) foi criado pelo governo Bolsonaro em 2022 (ou por eles).</t>
        </is>
      </c>
      <c r="D84" s="21" t="inlineStr">
        <is>
          <t>Falso</t>
        </is>
      </c>
      <c r="E84" s="21" t="inlineStr">
        <is>
          <t>Falso</t>
        </is>
      </c>
      <c r="F84" s="21" t="inlineStr">
        <is>
          <t>Sim</t>
        </is>
      </c>
      <c r="G84" s="21" t="inlineStr">
        <is>
          <t>Concordo. A cronologia da legislação está correta. Avaliei 'Exagerado' por causa da omissão regulatória, mas a atribuição de autoria ('criado pelo governo Bolsonaro') é falsa. Não fiz busca nova porque o limite acabou.</t>
        </is>
      </c>
    </row>
    <row r="85">
      <c r="A85" s="21" t="inlineStr">
        <is>
          <t>L28</t>
        </is>
      </c>
      <c r="B85" s="21" t="inlineStr">
        <is>
          <t>Lula</t>
        </is>
      </c>
      <c r="C85" s="21" t="inlineStr">
        <is>
          <t>O governo Lula encontrou cerca de 5.600 obras de creches, escolas e institutos federais paralisadas.</t>
        </is>
      </c>
      <c r="D85" s="21" t="inlineStr">
        <is>
          <t>Exagerado</t>
        </is>
      </c>
      <c r="E85" s="21" t="inlineStr">
        <is>
          <t>Exagerado</t>
        </is>
      </c>
      <c r="F85" s="21" t="inlineStr">
        <is>
          <t>Sim</t>
        </is>
      </c>
      <c r="G85" s="21" t="inlineStr">
        <is>
          <t>REAVALIADO SEM FONTES ENVIESADAS. Saiu a menção ao levantamento do TCU de 2024 e ao aumento de obras paradas no governo Lula, que vinha só da Gazeta do Povo (excluída). Entrou a ressalva de que os 6.227 são o total de obras previstas, não o de paralisadas. O veredito continua o mesmo. Revisor: Abri as três fontes. Os números de 3.700 e 3.993 (dados de novembro de 2022), de 3.500 (FNDE, maio de 2023) e de 3.783 e 6.227 batem com o que o outro agente escreveu. O número 5.600 não aparece em nenhuma delas. A matéria do Portal de Prefeitura atribui os dados só a 'dados oficiais', então a confiança fica em Média. Nenhum dado vem de fonte excluída.</t>
        </is>
      </c>
    </row>
    <row r="86">
      <c r="A86" s="21" t="inlineStr">
        <is>
          <t>L29</t>
        </is>
      </c>
      <c r="B86" s="21" t="inlineStr">
        <is>
          <t>Lula</t>
        </is>
      </c>
      <c r="C86" s="21" t="inlineStr">
        <is>
          <t>O governo Bolsonaro criou as escolas cívico-militares mas não as implementou.</t>
        </is>
      </c>
      <c r="D86" s="21" t="inlineStr">
        <is>
          <t>Falso</t>
        </is>
      </c>
      <c r="E86" s="21" t="inlineStr">
        <is>
          <t>Falso</t>
        </is>
      </c>
      <c r="F86" s="21" t="inlineStr">
        <is>
          <t>Sim</t>
        </is>
      </c>
      <c r="G86" s="21" t="inlineStr">
        <is>
          <t>Concordo. A cota de buscas da sessão acabou e a página do MEC pediu CAPTCHA, então não consegui confirmar o número exato de escolas com uma consulta nova. Mesmo assim, a existência de escolas em funcionamento no Pecim até 2022 é fato amplamente noticiado, e isso desmente a frase de que o programa não foi implementado.</t>
        </is>
      </c>
    </row>
    <row r="87">
      <c r="A87" s="21" t="inlineStr">
        <is>
          <t>L30</t>
        </is>
      </c>
      <c r="B87" s="21" t="inlineStr">
        <is>
          <t>Lula</t>
        </is>
      </c>
      <c r="C87" s="21" t="inlineStr">
        <is>
          <t>Flávio Bolsonaro discursou na Alerj defendendo milicianos, deu condecoração a miliciano e empregou a mãe e a irmã de chefe de milícia (Adriano da Nóbrega) em seu gabinete.</t>
        </is>
      </c>
      <c r="D87" s="21" t="inlineStr">
        <is>
          <t>Verdadeiro, mas impreciso</t>
        </is>
      </c>
      <c r="E87" s="21" t="inlineStr">
        <is>
          <t>Verdadeiro, mas impreciso</t>
        </is>
      </c>
      <c r="F87" s="21" t="inlineStr">
        <is>
          <t>Sim</t>
        </is>
      </c>
      <c r="G87" s="21" t="inlineStr">
        <is>
          <t>Confirmei pelas referências jornalísticas (Folha, O Globo, g1, Valor) que foram a mãe e a mulher (ex-mulher) de Adriano, não uma irmã, e que as homenagens foram a moção de 2003 e a medalha de 2005. Não consegui abrir as páginas da Folha e do Valor (acesso bloqueado). O erro sobre a irmã justifica o 'impreciso'.</t>
        </is>
      </c>
    </row>
    <row r="88">
      <c r="A88" s="21" t="inlineStr">
        <is>
          <t>L31</t>
        </is>
      </c>
      <c r="B88" s="21" t="inlineStr">
        <is>
          <t>Lula</t>
        </is>
      </c>
      <c r="C88" s="21" t="inlineStr">
        <is>
          <t>No caso da ilha de Richarlison, um amigo/advogado de Flávio conseguiu da SPU em uma semana o título que Richarlison esperava havia mais de um ano; o diretor da SPU era um coronel indicado por Flávio.</t>
        </is>
      </c>
      <c r="D88" s="21" t="inlineStr">
        <is>
          <t>Verdadeiro, mas impreciso</t>
        </is>
      </c>
      <c r="E88" s="21" t="inlineStr">
        <is>
          <t>Verdadeiro, mas impreciso</t>
        </is>
      </c>
      <c r="F88" s="21" t="inlineStr">
        <is>
          <t>Sim</t>
        </is>
      </c>
      <c r="G88" s="21" t="inlineStr">
        <is>
          <t>REAVALIADO SEM FONTES ENVIESADAS. Saíram a data exata da certidão (11/07/2022) e o mês da compra (outubro de 2020), que só vinham da CartaCapital (excluída). Ficou o que o Metrópoles confirma: a disputa começou em 2020, o investimento foi de cerca de R$ 10 milhões, o pedido de Richarlison ficou cerca de dez meses sem conclusão e o de Tomaz foi concluído em um dia, em julho de 2022. Entraram a inclusão do caso no inquérito da PF (CNN) e o desfecho na Justiça (TJ-RJ e STJ). O veredito continua o mesmo. Revisor: Abri as três fontes. O Metrópoles confirma literalmente 'cerca de dez meses', 'concluída em um dia, em julho de 2022', o início em 2020 e os R$ 10 milhões. Houve um erro de atribuição: o outro agente creditou os R$ 10 milhões à CNN, mas a matéria da CNN sobre a resposta de Richarlison não traz valor, ano nem prazo. Corrigi para o Metrópoles. A matéria da CNN sobre o inquérito confirma que a PF vai incluir o caso. Nenhuma das fontes menciona um coronel na SPU. Acrescentei o desfecho judicial que o Metrópoles relata. Nenhum dado vem de fonte excluída.</t>
        </is>
      </c>
    </row>
    <row r="89">
      <c r="A89" s="21" t="inlineStr">
        <is>
          <t>L32</t>
        </is>
      </c>
      <c r="B89" s="21" t="inlineStr">
        <is>
          <t>Lula</t>
        </is>
      </c>
      <c r="C89" s="21" t="inlineStr">
        <is>
          <t>Daniel Vorcaro (Banco Master) foi preso no governo Lula.</t>
        </is>
      </c>
      <c r="D89" s="21" t="inlineStr">
        <is>
          <t>Verdadeiro</t>
        </is>
      </c>
      <c r="E89" s="21" t="inlineStr">
        <is>
          <t>Verdadeiro</t>
        </is>
      </c>
      <c r="F89" s="21" t="inlineStr">
        <is>
          <t>Sim</t>
        </is>
      </c>
      <c r="G89" s="21" t="inlineStr">
        <is>
          <t>Confirmei pelas reportagens da CNN Brasil. Acrescento a segunda prisão, de março de 2026. A prisão foi cumprida pela PF com autorização judicial; não foi um ato do governo.</t>
        </is>
      </c>
    </row>
    <row r="90">
      <c r="A90" s="21" t="inlineStr">
        <is>
          <t>L33</t>
        </is>
      </c>
      <c r="B90" s="21" t="inlineStr">
        <is>
          <t>Lula</t>
        </is>
      </c>
      <c r="C90" s="21" t="inlineStr">
        <is>
          <t>Flávio esteve em um barco em Brasília em 2020 com empresários negociando a vacina Covaxin.</t>
        </is>
      </c>
      <c r="D90" s="21" t="inlineStr">
        <is>
          <t>Verdadeiro, mas impreciso</t>
        </is>
      </c>
      <c r="E90" s="21" t="inlineStr">
        <is>
          <t>Verdadeiro, mas impreciso</t>
        </is>
      </c>
      <c r="F90" s="21" t="inlineStr">
        <is>
          <t>Sim</t>
        </is>
      </c>
      <c r="G90" s="21" t="inlineStr">
        <is>
          <t>REAVALIADO SEM FONTES ENVIESADAS. Nada mudou. A única fonte excluída (Sul21) só repetia o relato da piauí, que as fontes regionais permitidas confirmam. Revisor: Confirmei pelo WebFetch que o Piauí Hoje traz data, local, presentes, Rolex e o vínculo da Precisa com a Covaxin, e que não diz que a vacina foi negociada na lancha.</t>
        </is>
      </c>
    </row>
    <row r="91">
      <c r="A91" s="21" t="inlineStr">
        <is>
          <t>L34</t>
        </is>
      </c>
      <c r="B91" s="21" t="inlineStr">
        <is>
          <t>Lula</t>
        </is>
      </c>
      <c r="C91" s="21" t="inlineStr">
        <is>
          <t>Flávio, ganhando salário de parlamentar (~R$ 46 mil), comprou uma casa de cerca de R$ 10 milhões.</t>
        </is>
      </c>
      <c r="D91" s="21" t="inlineStr">
        <is>
          <t>Exagerado</t>
        </is>
      </c>
      <c r="E91" s="21" t="inlineStr">
        <is>
          <t>Exagerado</t>
        </is>
      </c>
      <c r="F91" s="21" t="inlineStr">
        <is>
          <t>Sim</t>
        </is>
      </c>
      <c r="G91" s="21" t="inlineStr">
        <is>
          <t>Confirmei no Correio Braziliense o valor de R$ 5,97 milhões, o financiamento do BRB e a localização no Lago Sul. O valor de R$ 46 mil corresponde ao salário atual de parlamentar, não ao de 2021.</t>
        </is>
      </c>
    </row>
    <row r="92">
      <c r="A92" s="21" t="inlineStr">
        <is>
          <t>L35</t>
        </is>
      </c>
      <c r="B92" s="21" t="inlineStr">
        <is>
          <t>Lula</t>
        </is>
      </c>
      <c r="C92" s="21" t="inlineStr">
        <is>
          <t>O governo Bolsonaro gastou cerca de 30% a mais no cartão corporativo que o governo Lula.</t>
        </is>
      </c>
      <c r="D92" s="21" t="inlineStr">
        <is>
          <t>Verdadeiro, mas impreciso</t>
        </is>
      </c>
      <c r="E92" s="21" t="inlineStr">
        <is>
          <t>Verdadeiro, mas impreciso</t>
        </is>
      </c>
      <c r="F92" s="21" t="inlineStr">
        <is>
          <t>Sim</t>
        </is>
      </c>
      <c r="G92" s="21" t="inlineStr">
        <is>
          <t>REAVALIADO SEM FONTES ENVIESADAS. O veredito não mudou. A Gazeta do Povo (excluída) foi retirada, e nenhum dado dela foi usado. Os percentuais anuais foram recalculados só com os números do Terra, e estão corretos. Revisor: Confirmei pelo WebFetch os números citados do Terra. Há uma ressalva: o Terra atribui os números da Secretaria ao Aos Fatos e os da Presidência ao Estadão Verifica, que são checagens, e não informa a fonte do total do governo federal. Ainda assim, a fonte usada é o Terra, um portal jornalístico, com dados que vêm do Portal da Transparência. Nenhuma fonte excluída foi usada. A confiança Média se justifica por essa origem indireta dos números e pela divergência de metodologias.</t>
        </is>
      </c>
    </row>
  </sheetData>
  <autoFilter ref="A1:G9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7"/>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6" customWidth="1" min="3" max="3"/>
    <col width="110" customWidth="1" min="4" max="4"/>
  </cols>
  <sheetData>
    <row r="1">
      <c r="A1" s="3" t="inlineStr">
        <is>
          <t>ID</t>
        </is>
      </c>
      <c r="B1" s="3" t="inlineStr">
        <is>
          <t>Candidato</t>
        </is>
      </c>
      <c r="C1" s="3" t="inlineStr">
        <is>
          <t>Origem</t>
        </is>
      </c>
      <c r="D1" s="3" t="inlineStr">
        <is>
          <t>Fonte / URL</t>
        </is>
      </c>
    </row>
    <row r="2">
      <c r="A2" s="15" t="inlineStr">
        <is>
          <t>F01</t>
        </is>
      </c>
      <c r="B2" s="15" t="inlineStr">
        <is>
          <t>Flávio</t>
        </is>
      </c>
      <c r="C2" s="15" t="inlineStr">
        <is>
          <t>Revisor</t>
        </is>
      </c>
      <c r="D2" s="15" t="inlineStr">
        <is>
          <t>https://portal.tcu.gov.br/imprensa/noticias/brasil-tem-86-mil-obras-paralisadas-financiadas-com-recursos-federais</t>
        </is>
      </c>
    </row>
    <row r="3">
      <c r="A3" s="15" t="inlineStr">
        <is>
          <t>F01</t>
        </is>
      </c>
      <c r="B3" s="15" t="inlineStr">
        <is>
          <t>Flávio</t>
        </is>
      </c>
      <c r="C3" s="15" t="inlineStr">
        <is>
          <t>Revisor</t>
        </is>
      </c>
      <c r="D3" s="15" t="inlineStr">
        <is>
          <t>https://sites.tcu.gov.br/relatorio-de-politicas/2019/area_12.htm</t>
        </is>
      </c>
    </row>
    <row r="4">
      <c r="A4" s="15" t="inlineStr">
        <is>
          <t>F01</t>
        </is>
      </c>
      <c r="B4" s="15" t="inlineStr">
        <is>
          <t>Flávio</t>
        </is>
      </c>
      <c r="C4" s="15" t="inlineStr">
        <is>
          <t>Revisor</t>
        </is>
      </c>
      <c r="D4" s="15" t="inlineStr">
        <is>
          <t>https://www.opovo.com.br/noticias/economia/2023/10/18/tcu-diz-que-nao-existiu-entre-2019-e-2022-politicas-para-obras-paralisadas-e-cobra-medidas.html</t>
        </is>
      </c>
    </row>
    <row r="5">
      <c r="A5" s="15" t="inlineStr">
        <is>
          <t>F02</t>
        </is>
      </c>
      <c r="B5" s="15" t="inlineStr">
        <is>
          <t>Flávio</t>
        </is>
      </c>
      <c r="C5" s="15" t="inlineStr">
        <is>
          <t>Revisor</t>
        </is>
      </c>
      <c r="D5" s="15" t="inlineStr">
        <is>
          <t>https://portal.tcu.gov.br/imprensa/noticias/metade-das-obras-financiadas-com-recursos-federais-estao-paradas</t>
        </is>
      </c>
    </row>
    <row r="6">
      <c r="A6" s="15" t="inlineStr">
        <is>
          <t>F02</t>
        </is>
      </c>
      <c r="B6" s="15" t="inlineStr">
        <is>
          <t>Flávio</t>
        </is>
      </c>
      <c r="C6" s="15" t="inlineStr">
        <is>
          <t>Revisor</t>
        </is>
      </c>
      <c r="D6" s="15" t="inlineStr">
        <is>
          <t>https://viva.com.br/noticias/brasil-tem-mais-de-11-mil-obras-paradas-para-tcu-volume-e-preocupante.html</t>
        </is>
      </c>
    </row>
    <row r="7">
      <c r="A7" s="15" t="inlineStr">
        <is>
          <t>F03</t>
        </is>
      </c>
      <c r="B7" s="15" t="inlineStr">
        <is>
          <t>Flávio</t>
        </is>
      </c>
      <c r="C7" s="15" t="inlineStr">
        <is>
          <t>Revisor</t>
        </is>
      </c>
      <c r="D7" s="15" t="inlineStr">
        <is>
          <t>https://www.infomoney.com.br/?p=1881372</t>
        </is>
      </c>
    </row>
    <row r="8">
      <c r="A8" s="15" t="inlineStr">
        <is>
          <t>F03</t>
        </is>
      </c>
      <c r="B8" s="15" t="inlineStr">
        <is>
          <t>Flávio</t>
        </is>
      </c>
      <c r="C8" s="15" t="inlineStr">
        <is>
          <t>Revisor</t>
        </is>
      </c>
      <c r="D8" s="15" t="inlineStr">
        <is>
          <t>https://oespecialista.safra.com.br/tcu-aprova-concessao-da-dutra-e-isencao-de-pedagio-para-motos/</t>
        </is>
      </c>
    </row>
    <row r="9">
      <c r="A9" s="15" t="inlineStr">
        <is>
          <t>F03</t>
        </is>
      </c>
      <c r="B9" s="15" t="inlineStr">
        <is>
          <t>Flávio</t>
        </is>
      </c>
      <c r="C9" s="15" t="inlineStr">
        <is>
          <t>Pesquisa inicial</t>
        </is>
      </c>
      <c r="D9" s="15" t="inlineStr">
        <is>
          <t>https://www.motoo.com.br/novas-concessoes-de-rodovias-federais-terao-isencao-de-pedagio-para-motos/</t>
        </is>
      </c>
    </row>
    <row r="10">
      <c r="A10" s="15" t="inlineStr">
        <is>
          <t>F03</t>
        </is>
      </c>
      <c r="B10" s="15" t="inlineStr">
        <is>
          <t>Flávio</t>
        </is>
      </c>
      <c r="C10" s="15" t="inlineStr">
        <is>
          <t>Pesquisa inicial</t>
        </is>
      </c>
      <c r="D10" s="15" t="inlineStr">
        <is>
          <t>https://www.agazeta.com.br/es/economia/motos-ficarao-livres-de-pagar-pedagio-na-br-262-apos-concessao-0721</t>
        </is>
      </c>
    </row>
    <row r="11">
      <c r="A11" s="15" t="inlineStr">
        <is>
          <t>F04</t>
        </is>
      </c>
      <c r="B11" s="15" t="inlineStr">
        <is>
          <t>Flávio</t>
        </is>
      </c>
      <c r="C11" s="15" t="inlineStr">
        <is>
          <t>Revisor</t>
        </is>
      </c>
      <c r="D11" s="15" t="inlineStr">
        <is>
          <t>https://www.nic.br/noticia/na-midia/mais-de-21-3-mil-pontos-de-internet-do-wi-fi-brasil-sao-instalados/</t>
        </is>
      </c>
    </row>
    <row r="12">
      <c r="A12" s="15" t="inlineStr">
        <is>
          <t>F04</t>
        </is>
      </c>
      <c r="B12" s="15" t="inlineStr">
        <is>
          <t>Flávio</t>
        </is>
      </c>
      <c r="C12" s="15" t="inlineStr">
        <is>
          <t>Revisor</t>
        </is>
      </c>
      <c r="D12" s="15" t="inlineStr">
        <is>
          <t>https://agenciabrasil.ebc.com.br/geral/noticia/2021-04/programa-leva-internet-areas-remotas-do-pais</t>
        </is>
      </c>
    </row>
    <row r="13">
      <c r="A13" s="15" t="inlineStr">
        <is>
          <t>F04</t>
        </is>
      </c>
      <c r="B13" s="15" t="inlineStr">
        <is>
          <t>Flávio</t>
        </is>
      </c>
      <c r="C13" s="15" t="inlineStr">
        <is>
          <t>Revisor</t>
        </is>
      </c>
      <c r="D13" s="15" t="inlineStr">
        <is>
          <t>https://www.minhaoperadora.com.br/2022/06/governo-entregou-mais-de-17-mil-pontos-wi-fi-a-populacao.html</t>
        </is>
      </c>
    </row>
    <row r="14">
      <c r="A14" s="15" t="inlineStr">
        <is>
          <t>F04</t>
        </is>
      </c>
      <c r="B14" s="15" t="inlineStr">
        <is>
          <t>Flávio</t>
        </is>
      </c>
      <c r="C14" s="15" t="inlineStr">
        <is>
          <t>Revisor</t>
        </is>
      </c>
      <c r="D14" s="15" t="inlineStr">
        <is>
          <t>https://agenciasebrae.com.br/inovacao/wi-fi-brasil-sebrae-inicia-instalacao-dos-pontos-de-conexao</t>
        </is>
      </c>
    </row>
    <row r="15">
      <c r="A15" s="15" t="inlineStr">
        <is>
          <t>F04</t>
        </is>
      </c>
      <c r="B15" s="15" t="inlineStr">
        <is>
          <t>Flávio</t>
        </is>
      </c>
      <c r="C15" s="15" t="inlineStr">
        <is>
          <t>Pesquisa inicial</t>
        </is>
      </c>
      <c r="D15" s="15" t="inlineStr">
        <is>
          <t>https://www.correiobraziliense.com.br/politica/2022/04/amp/5000113-bolsonaro-sobre-internet-vamos-entregar-todo-o-brasil-conectado-ate-dezembro.html</t>
        </is>
      </c>
    </row>
    <row r="16">
      <c r="A16" s="15" t="inlineStr">
        <is>
          <t>F04</t>
        </is>
      </c>
      <c r="B16" s="15" t="inlineStr">
        <is>
          <t>Flávio</t>
        </is>
      </c>
      <c r="C16" s="15" t="inlineStr">
        <is>
          <t>Pesquisa inicial</t>
        </is>
      </c>
      <c r="D16" s="15" t="inlineStr">
        <is>
          <t>https://teletime.com.br/11/01/2021/macaiba-rn-recebe-ponto-de-internet-do-programa-wi-fi-brasil/</t>
        </is>
      </c>
    </row>
    <row r="17">
      <c r="A17" s="15" t="inlineStr">
        <is>
          <t>F05</t>
        </is>
      </c>
      <c r="B17" s="15" t="inlineStr">
        <is>
          <t>Flávio</t>
        </is>
      </c>
      <c r="C17" s="15" t="inlineStr">
        <is>
          <t>Revisor</t>
        </is>
      </c>
      <c r="D17" s="15" t="inlineStr">
        <is>
          <t>https://www.reformatributaria.com/economia-reforma-tributaria-impactos/carga-tributaria-bate-recorde-em-2025-e-atinge-324-do-pib/</t>
        </is>
      </c>
    </row>
    <row r="18">
      <c r="A18" s="15" t="inlineStr">
        <is>
          <t>F05</t>
        </is>
      </c>
      <c r="B18" s="15" t="inlineStr">
        <is>
          <t>Flávio</t>
        </is>
      </c>
      <c r="C18" s="15" t="inlineStr">
        <is>
          <t>Revisor</t>
        </is>
      </c>
      <c r="D18" s="15" t="inlineStr">
        <is>
          <t>https://economicnewsbrasil.com.br/2026/04/11/carga-tributaria-brasil-2025-tesouro-dados/</t>
        </is>
      </c>
    </row>
    <row r="19">
      <c r="A19" s="15" t="inlineStr">
        <is>
          <t>F05</t>
        </is>
      </c>
      <c r="B19" s="15" t="inlineStr">
        <is>
          <t>Flávio</t>
        </is>
      </c>
      <c r="C19" s="15" t="inlineStr">
        <is>
          <t>Pesquisa inicial</t>
        </is>
      </c>
      <c r="D19" s="15" t="inlineStr">
        <is>
          <t>https://www.contabeis.com.br/noticias/76330/carga-tributaria-do-brasil-atinge-recorde-de-32-4-do-pib-em-2025/</t>
        </is>
      </c>
    </row>
    <row r="20">
      <c r="A20" s="15" t="inlineStr">
        <is>
          <t>F06</t>
        </is>
      </c>
      <c r="B20" s="15" t="inlineStr">
        <is>
          <t>Flávio</t>
        </is>
      </c>
      <c r="C20" s="15" t="inlineStr">
        <is>
          <t>Revisor</t>
        </is>
      </c>
      <c r="D20" s="15" t="inlineStr">
        <is>
          <t>https://www.infomoney.com.br/?p=2703795</t>
        </is>
      </c>
    </row>
    <row r="21">
      <c r="A21" s="15" t="inlineStr">
        <is>
          <t>F06</t>
        </is>
      </c>
      <c r="B21" s="15" t="inlineStr">
        <is>
          <t>Flávio</t>
        </is>
      </c>
      <c r="C21" s="15" t="inlineStr">
        <is>
          <t>Revisor</t>
        </is>
      </c>
      <c r="D21" s="15" t="inlineStr">
        <is>
          <t>https://www.moneytimes.com.br/brasil-tera-maior-aliquota-do-mundo-apos-reforma-tributaria-no-senado-jals/</t>
        </is>
      </c>
    </row>
    <row r="22">
      <c r="A22" s="15" t="inlineStr">
        <is>
          <t>F06</t>
        </is>
      </c>
      <c r="B22" s="15" t="inlineStr">
        <is>
          <t>Flávio</t>
        </is>
      </c>
      <c r="C22" s="15" t="inlineStr">
        <is>
          <t>Pesquisa inicial</t>
        </is>
      </c>
      <c r="D22" s="15" t="inlineStr">
        <is>
          <t>https://edicao.correiobraziliense.com.br/correiobraziliense/2025/01/17/13530f/pdf/A02-POL-1701-DIG.pdf</t>
        </is>
      </c>
    </row>
    <row r="23">
      <c r="A23" s="15" t="inlineStr">
        <is>
          <t>F07</t>
        </is>
      </c>
      <c r="B23" s="15" t="inlineStr">
        <is>
          <t>Flávio</t>
        </is>
      </c>
      <c r="C23" s="15" t="inlineStr">
        <is>
          <t>Revisor</t>
        </is>
      </c>
      <c r="D23" s="15" t="inlineStr">
        <is>
          <t>https://www.correiobraziliense.com.br/politica/2022/08/5029151-bolsonaro-rebate-lula-e-volta-a-prometer-auxilio-de-rs-600-em-2023.html</t>
        </is>
      </c>
    </row>
    <row r="24">
      <c r="A24" s="15" t="inlineStr">
        <is>
          <t>F07</t>
        </is>
      </c>
      <c r="B24" s="15" t="inlineStr">
        <is>
          <t>Flávio</t>
        </is>
      </c>
      <c r="C24" s="15" t="inlineStr">
        <is>
          <t>Revisor</t>
        </is>
      </c>
      <c r="D24" s="15" t="inlineStr">
        <is>
          <t>https://jornalcontabil.com.br/noticia/este-sera-o-novo-valor-do-auxilio-brasil-2023-veja-agora/</t>
        </is>
      </c>
    </row>
    <row r="25">
      <c r="A25" s="15" t="inlineStr">
        <is>
          <t>F07</t>
        </is>
      </c>
      <c r="B25" s="15" t="inlineStr">
        <is>
          <t>Flávio</t>
        </is>
      </c>
      <c r="C25" s="15" t="inlineStr">
        <is>
          <t>Revisor</t>
        </is>
      </c>
      <c r="D25" s="15" t="inlineStr">
        <is>
          <t>https://www.camara.leg.br/noticias/973711-SANCIONADA-LEI-QUE-RECRIA-O-PROGRAMA-BOLSA-FAMILIA</t>
        </is>
      </c>
    </row>
    <row r="26">
      <c r="A26" s="15" t="inlineStr">
        <is>
          <t>F07</t>
        </is>
      </c>
      <c r="B26" s="15" t="inlineStr">
        <is>
          <t>Flávio</t>
        </is>
      </c>
      <c r="C26" s="15" t="inlineStr">
        <is>
          <t>Pesquisa inicial</t>
        </is>
      </c>
      <c r="D26" s="15" t="inlineStr">
        <is>
          <t>https://www.planalto.gov.br/ccivil_03/_ato2023-2026/2023/lei/l14601.htm</t>
        </is>
      </c>
    </row>
    <row r="27">
      <c r="A27" s="15" t="inlineStr">
        <is>
          <t>F08</t>
        </is>
      </c>
      <c r="B27" s="15" t="inlineStr">
        <is>
          <t>Flávio</t>
        </is>
      </c>
      <c r="C27" s="15" t="inlineStr">
        <is>
          <t>Revisor</t>
        </is>
      </c>
      <c r="D27" s="15" t="inlineStr">
        <is>
          <t>https://www.infomoney.com.br/?p=1885250</t>
        </is>
      </c>
    </row>
    <row r="28">
      <c r="A28" s="15" t="inlineStr">
        <is>
          <t>F08</t>
        </is>
      </c>
      <c r="B28" s="15" t="inlineStr">
        <is>
          <t>Flávio</t>
        </is>
      </c>
      <c r="C28" s="15" t="inlineStr">
        <is>
          <t>Revisor</t>
        </is>
      </c>
      <c r="D28" s="15" t="inlineStr">
        <is>
          <t>https://diariodonordeste.verdesmares.com.br/negocios/reduflacao-ocorre-mais-no-azeite-manteiga-e-cafe-aponta-estudo-veja-produtos-1.3531679</t>
        </is>
      </c>
    </row>
    <row r="29">
      <c r="A29" s="15" t="inlineStr">
        <is>
          <t>F08</t>
        </is>
      </c>
      <c r="B29" s="15" t="inlineStr">
        <is>
          <t>Flávio</t>
        </is>
      </c>
      <c r="C29" s="15" t="inlineStr">
        <is>
          <t>Revisor</t>
        </is>
      </c>
      <c r="D29" s="15" t="inlineStr">
        <is>
          <t>https://goias.gov.br/procon/wp-content/uploads/sites/19/2024/09/PLANILHA-GERAL-PESQUISA-DE-PRECOS-PRODUTOS-DE-LIMPEZA-E-HIGIENE-PESSOAL.pdf</t>
        </is>
      </c>
    </row>
    <row r="30">
      <c r="A30" s="15" t="inlineStr">
        <is>
          <t>F08</t>
        </is>
      </c>
      <c r="B30" s="15" t="inlineStr">
        <is>
          <t>Flávio</t>
        </is>
      </c>
      <c r="C30" s="15" t="inlineStr">
        <is>
          <t>Pesquisa inicial</t>
        </is>
      </c>
      <c r="D30" s="15" t="inlineStr">
        <is>
          <t>https://abcdoabc.com.br/procon-santo-andre-alerta-consumidores-sobre-reduflacao/</t>
        </is>
      </c>
    </row>
    <row r="31">
      <c r="A31" s="15" t="inlineStr">
        <is>
          <t>F09</t>
        </is>
      </c>
      <c r="B31" s="15" t="inlineStr">
        <is>
          <t>Flávio</t>
        </is>
      </c>
      <c r="C31" s="15" t="inlineStr">
        <is>
          <t>Revisor</t>
        </is>
      </c>
      <c r="D31" s="15" t="inlineStr">
        <is>
          <t>https://www.poder360.com.br/poder-economia/mesmo-com-corte-brasil-tem-o-maior-juro-real-do-planeta/</t>
        </is>
      </c>
    </row>
    <row r="32">
      <c r="A32" s="15" t="inlineStr">
        <is>
          <t>F09</t>
        </is>
      </c>
      <c r="B32" s="15" t="inlineStr">
        <is>
          <t>Flávio</t>
        </is>
      </c>
      <c r="C32" s="15" t="inlineStr">
        <is>
          <t>Revisor</t>
        </is>
      </c>
      <c r="D32" s="15" t="inlineStr">
        <is>
          <t>https://www.moneytimes.com.br/selic-a-1450-brasil-segue-com-o-2o-maior-juro-real-do-mundo-mesmo-apos-corte-jcav/</t>
        </is>
      </c>
    </row>
    <row r="33">
      <c r="A33" s="15" t="inlineStr">
        <is>
          <t>F09</t>
        </is>
      </c>
      <c r="B33" s="15" t="inlineStr">
        <is>
          <t>Flávio</t>
        </is>
      </c>
      <c r="C33" s="15" t="inlineStr">
        <is>
          <t>Pesquisa inicial</t>
        </is>
      </c>
      <c r="D33" s="15" t="inlineStr">
        <is>
          <t>https://www.poder360.com.br/poder-economia/brasil-mantem-maior-juro-real-do-mundo-diz-pesquisa/</t>
        </is>
      </c>
    </row>
    <row r="34">
      <c r="A34" s="15" t="inlineStr">
        <is>
          <t>F10</t>
        </is>
      </c>
      <c r="B34" s="15" t="inlineStr">
        <is>
          <t>Flávio</t>
        </is>
      </c>
      <c r="C34" s="15" t="inlineStr">
        <is>
          <t>Revisor</t>
        </is>
      </c>
      <c r="D34" s="15" t="inlineStr">
        <is>
          <t>https://www.poder360.com.br/eleicoes/lula-diz-que-nao-generalizou-ao-ligar-agro-ao-fascismo/</t>
        </is>
      </c>
    </row>
    <row r="35">
      <c r="A35" s="15" t="inlineStr">
        <is>
          <t>F10</t>
        </is>
      </c>
      <c r="B35" s="15" t="inlineStr">
        <is>
          <t>Flávio</t>
        </is>
      </c>
      <c r="C35" s="15" t="inlineStr">
        <is>
          <t>Revisor</t>
        </is>
      </c>
      <c r="D35" s="15" t="inlineStr">
        <is>
          <t>https://jornaldebrasilia.com.br/noticias/politica-e-poder/aliado-de-lula-no-agro-diz-que-petista-errou-e-precisa-se-desculpar-por-fala-sobre-fascismo/</t>
        </is>
      </c>
    </row>
    <row r="36">
      <c r="A36" s="15" t="inlineStr">
        <is>
          <t>F10</t>
        </is>
      </c>
      <c r="B36" s="15" t="inlineStr">
        <is>
          <t>Flávio</t>
        </is>
      </c>
      <c r="C36" s="15" t="inlineStr">
        <is>
          <t>Pesquisa inicial</t>
        </is>
      </c>
      <c r="D36" s="15" t="inlineStr">
        <is>
          <t>https://www.canalrural.com.br/politica/tereza-cristina-rebate-lula-apos-fala-sobre-agro-isso-nao-se-faz-com-bravatas/</t>
        </is>
      </c>
    </row>
    <row r="37">
      <c r="A37" s="15" t="inlineStr">
        <is>
          <t>F11</t>
        </is>
      </c>
      <c r="B37" s="15" t="inlineStr">
        <is>
          <t>Flávio</t>
        </is>
      </c>
      <c r="C37" s="15" t="inlineStr">
        <is>
          <t>Revisor</t>
        </is>
      </c>
      <c r="D37" s="15" t="inlineStr">
        <is>
          <t>https://timesbrasil.com.br/empresas-e-negocios/agro/plano-safra-26-27-governo-eleva-credito-a-r-5251-bilhoes-e-impoe-taxa-maxima-de-juros-no-campo/</t>
        </is>
      </c>
    </row>
    <row r="38">
      <c r="A38" s="15" t="inlineStr">
        <is>
          <t>F11</t>
        </is>
      </c>
      <c r="B38" s="15" t="inlineStr">
        <is>
          <t>Flávio</t>
        </is>
      </c>
      <c r="C38" s="15" t="inlineStr">
        <is>
          <t>Revisor</t>
        </is>
      </c>
      <c r="D38" s="15" t="inlineStr">
        <is>
          <t>https://agfeed.com.br/economia/plano-safra-cresce-menos-que-a-inflacao-e-agricultura-empresarial-tera-menos-recursos-para-o-custeio</t>
        </is>
      </c>
    </row>
    <row r="39">
      <c r="A39" s="15" t="inlineStr">
        <is>
          <t>F11</t>
        </is>
      </c>
      <c r="B39" s="15" t="inlineStr">
        <is>
          <t>Flávio</t>
        </is>
      </c>
      <c r="C39" s="15" t="inlineStr">
        <is>
          <t>Revisor</t>
        </is>
      </c>
      <c r="D39" s="15" t="inlineStr">
        <is>
          <t>https://www.canalrural.com.br/politica/bloqueio-de-r-4617-milhoes-no-psr-e-atribuido-a-restricoes-fiscais/</t>
        </is>
      </c>
    </row>
    <row r="40">
      <c r="A40" s="15" t="inlineStr">
        <is>
          <t>F11</t>
        </is>
      </c>
      <c r="B40" s="15" t="inlineStr">
        <is>
          <t>Flávio</t>
        </is>
      </c>
      <c r="C40" s="15" t="inlineStr">
        <is>
          <t>Pesquisa inicial</t>
        </is>
      </c>
      <c r="D40" s="15" t="inlineStr">
        <is>
          <t>https://www.canalrural.com.br/politica/plano-safra-da-agricultura-familiar-preve-r-973-bilhoes-para-2026-2027/</t>
        </is>
      </c>
    </row>
    <row r="41">
      <c r="A41" s="15" t="inlineStr">
        <is>
          <t>F12</t>
        </is>
      </c>
      <c r="B41" s="15" t="inlineStr">
        <is>
          <t>Flávio</t>
        </is>
      </c>
      <c r="C41" s="15" t="inlineStr">
        <is>
          <t>Revisor</t>
        </is>
      </c>
      <c r="D41" s="15" t="inlineStr">
        <is>
          <t>https://www.poder360.com.br/internacional/milei-assume-argentina-com-inflacao-em-expansao-e-pobreza-alta/</t>
        </is>
      </c>
    </row>
    <row r="42">
      <c r="A42" s="15" t="inlineStr">
        <is>
          <t>F12</t>
        </is>
      </c>
      <c r="B42" s="15" t="inlineStr">
        <is>
          <t>Flávio</t>
        </is>
      </c>
      <c r="C42" s="15" t="inlineStr">
        <is>
          <t>Revisor</t>
        </is>
      </c>
      <c r="D42" s="15" t="inlineStr">
        <is>
          <t>https://www.opovo.com.br/noticias/mundo/2024/01/26/argentina-torna-se-o-pais-com-maior-inflacao-do-mundo.html</t>
        </is>
      </c>
    </row>
    <row r="43">
      <c r="A43" s="15" t="inlineStr">
        <is>
          <t>F12</t>
        </is>
      </c>
      <c r="B43" s="15" t="inlineStr">
        <is>
          <t>Flávio</t>
        </is>
      </c>
      <c r="C43" s="15" t="inlineStr">
        <is>
          <t>Revisor</t>
        </is>
      </c>
      <c r="D43" s="15" t="inlineStr">
        <is>
          <t>https://www.bloomberglinea.com.br/internacional/argentina-corta-juros-pela-sexta-vez-para-40-com-desaceleracao-da-inflacao</t>
        </is>
      </c>
    </row>
    <row r="44">
      <c r="A44" s="15" t="inlineStr">
        <is>
          <t>F12</t>
        </is>
      </c>
      <c r="B44" s="15" t="inlineStr">
        <is>
          <t>Flávio</t>
        </is>
      </c>
      <c r="C44" s="15" t="inlineStr">
        <is>
          <t>Pesquisa inicial</t>
        </is>
      </c>
      <c r="D44" s="15" t="inlineStr">
        <is>
          <t>https://www.nbcnews.com/news/latino/argentina-inflation-surges-200-hitting-highest-level-decades-rcna133557</t>
        </is>
      </c>
    </row>
    <row r="45">
      <c r="A45" s="15" t="inlineStr">
        <is>
          <t>F13</t>
        </is>
      </c>
      <c r="B45" s="15" t="inlineStr">
        <is>
          <t>Flávio</t>
        </is>
      </c>
      <c r="C45" s="15" t="inlineStr">
        <is>
          <t>Revisor</t>
        </is>
      </c>
      <c r="D45" s="15" t="inlineStr">
        <is>
          <t>https://www.poder360.com.br/poder-economia/pacote-de-bondades-de-lula-soma-r-4032-bi-em-ano-eleitoral/</t>
        </is>
      </c>
    </row>
    <row r="46">
      <c r="A46" s="15" t="inlineStr">
        <is>
          <t>F14</t>
        </is>
      </c>
      <c r="B46" s="15" t="inlineStr">
        <is>
          <t>Flávio</t>
        </is>
      </c>
      <c r="C46" s="15" t="inlineStr">
        <is>
          <t>Revisor</t>
        </is>
      </c>
      <c r="D46" s="15" t="inlineStr">
        <is>
          <t>https://www.correiodamanha.com.br/nacional/sul/2026/05/284088-rs-verba-de-auxilio-reconstrucao-chega-a-94.html</t>
        </is>
      </c>
    </row>
    <row r="47">
      <c r="A47" s="15" t="inlineStr">
        <is>
          <t>F14</t>
        </is>
      </c>
      <c r="B47" s="15" t="inlineStr">
        <is>
          <t>Flávio</t>
        </is>
      </c>
      <c r="C47" s="15" t="inlineStr">
        <is>
          <t>Revisor</t>
        </is>
      </c>
      <c r="D47" s="15" t="inlineStr">
        <is>
          <t>https://portal.tcu.gov.br/imprensa/noticias/tribunal-acompanha-repasses-para-reconstrucao-de-municipios-gauchos</t>
        </is>
      </c>
    </row>
    <row r="48">
      <c r="A48" s="15" t="inlineStr">
        <is>
          <t>F14</t>
        </is>
      </c>
      <c r="B48" s="15" t="inlineStr">
        <is>
          <t>Flávio</t>
        </is>
      </c>
      <c r="C48" s="15" t="inlineStr">
        <is>
          <t>Revisor</t>
        </is>
      </c>
      <c r="D48" s="15" t="inlineStr">
        <is>
          <t>https://www.infomoney.com.br/?p=2481163</t>
        </is>
      </c>
    </row>
    <row r="49">
      <c r="A49" s="15" t="inlineStr">
        <is>
          <t>F15</t>
        </is>
      </c>
      <c r="B49" s="15" t="inlineStr">
        <is>
          <t>Flávio</t>
        </is>
      </c>
      <c r="C49" s="15" t="inlineStr">
        <is>
          <t>Revisor</t>
        </is>
      </c>
      <c r="D49" s="15" t="inlineStr">
        <is>
          <t>https://www.gov.br/cidades/pt-br/assuntos/noticias-1/noticia-mcid-n-996/ReleaseSINISA.pdf/@@download/file</t>
        </is>
      </c>
    </row>
    <row r="50">
      <c r="A50" s="15" t="inlineStr">
        <is>
          <t>F15</t>
        </is>
      </c>
      <c r="B50" s="15" t="inlineStr">
        <is>
          <t>Flávio</t>
        </is>
      </c>
      <c r="C50" s="15" t="inlineStr">
        <is>
          <t>Revisor</t>
        </is>
      </c>
      <c r="D50" s="15" t="inlineStr">
        <is>
          <t>https://www.correiobraziliense.com.br/brasil/2024/07/6898213-muito-pouco-a-comemorar-nos-quatro-anos-do-marco-legal-do-saneamento.html</t>
        </is>
      </c>
    </row>
    <row r="51">
      <c r="A51" s="15" t="inlineStr">
        <is>
          <t>F15</t>
        </is>
      </c>
      <c r="B51" s="15" t="inlineStr">
        <is>
          <t>Flávio</t>
        </is>
      </c>
      <c r="C51" s="15" t="inlineStr">
        <is>
          <t>Revisor</t>
        </is>
      </c>
      <c r="D51" s="15" t="inlineStr">
        <is>
          <t>https://agenciainfra.com/blog/?p=36843</t>
        </is>
      </c>
    </row>
    <row r="52">
      <c r="A52" s="15" t="inlineStr">
        <is>
          <t>F15</t>
        </is>
      </c>
      <c r="B52" s="15" t="inlineStr">
        <is>
          <t>Flávio</t>
        </is>
      </c>
      <c r="C52" s="15" t="inlineStr">
        <is>
          <t>Revisor</t>
        </is>
      </c>
      <c r="D52" s="15" t="inlineStr">
        <is>
          <t>https://www.poder360.com.br/economia/lider-do-pt-no-senado-diz-que-vai-propor-adiamento-de-marco-do-saneamento/</t>
        </is>
      </c>
    </row>
    <row r="53">
      <c r="A53" s="15" t="inlineStr">
        <is>
          <t>F15</t>
        </is>
      </c>
      <c r="B53" s="15" t="inlineStr">
        <is>
          <t>Flávio</t>
        </is>
      </c>
      <c r="C53" s="15" t="inlineStr">
        <is>
          <t>Pesquisa inicial</t>
        </is>
      </c>
      <c r="D53" s="15" t="inlineStr">
        <is>
          <t>https://www.gov.br/cidades/pt-br/acesso-a-informacao/acoes-e-programas/saneamento/sinisa/resultados-sinisa/RELATORIO_SINISA_ESGOTAMENTO_SANITARIO_2024.pdf</t>
        </is>
      </c>
    </row>
    <row r="54">
      <c r="A54" s="15" t="inlineStr">
        <is>
          <t>F15</t>
        </is>
      </c>
      <c r="B54" s="15" t="inlineStr">
        <is>
          <t>Flávio</t>
        </is>
      </c>
      <c r="C54" s="15" t="inlineStr">
        <is>
          <t>Pesquisa inicial</t>
        </is>
      </c>
      <c r="D54" s="15" t="inlineStr">
        <is>
          <t>https://sbtnews.sbt.com.br/noticia/brasil/quase-32-milhoes-sem-agua-potavel-e-90-milhoes-sem-esgoto</t>
        </is>
      </c>
    </row>
    <row r="55">
      <c r="A55" s="15" t="inlineStr">
        <is>
          <t>F16</t>
        </is>
      </c>
      <c r="B55" s="15" t="inlineStr">
        <is>
          <t>Flávio</t>
        </is>
      </c>
      <c r="C55" s="15" t="inlineStr">
        <is>
          <t>Revisor</t>
        </is>
      </c>
      <c r="D55" s="15" t="inlineStr">
        <is>
          <t>https://www.poder360.com.br/poder-governo/jader-filho-diz-ser-contra-prorrogar-prazo-para-universalizar-saneamento/</t>
        </is>
      </c>
    </row>
    <row r="56">
      <c r="A56" s="15" t="inlineStr">
        <is>
          <t>F16</t>
        </is>
      </c>
      <c r="B56" s="15" t="inlineStr">
        <is>
          <t>Flávio</t>
        </is>
      </c>
      <c r="C56" s="15" t="inlineStr">
        <is>
          <t>Revisor</t>
        </is>
      </c>
      <c r="D56" s="15" t="inlineStr">
        <is>
          <t>https://agenciainfra.com/blog/ministro-das-cidades-rejeita-prorrogacao-do-prazo-para-universalizacao-do-saneamento-hoje-previsto-para-2033/</t>
        </is>
      </c>
    </row>
    <row r="57">
      <c r="A57" s="15" t="inlineStr">
        <is>
          <t>F16</t>
        </is>
      </c>
      <c r="B57" s="15" t="inlineStr">
        <is>
          <t>Flávio</t>
        </is>
      </c>
      <c r="C57" s="15" t="inlineStr">
        <is>
          <t>Revisor</t>
        </is>
      </c>
      <c r="D57" s="15" t="inlineStr">
        <is>
          <t>https://www.correiobraziliense.com.br/politica/2023/04/5085337-lula-assina-regras-de-saneamento-e-pede-voto-de-confianca-a-empresas-publicas.html</t>
        </is>
      </c>
    </row>
    <row r="58">
      <c r="A58" s="15" t="inlineStr">
        <is>
          <t>F16</t>
        </is>
      </c>
      <c r="B58" s="15" t="inlineStr">
        <is>
          <t>Flávio</t>
        </is>
      </c>
      <c r="C58" s="15" t="inlineStr">
        <is>
          <t>Revisor</t>
        </is>
      </c>
      <c r="D58" s="15" t="inlineStr">
        <is>
          <t>https://jornaldebrasilia.com.br/noticias/brasil/universalizacao-do-saneamento-so-deve-acontecer-em-2070/</t>
        </is>
      </c>
    </row>
    <row r="59">
      <c r="A59" s="15" t="inlineStr">
        <is>
          <t>F16</t>
        </is>
      </c>
      <c r="B59" s="15" t="inlineStr">
        <is>
          <t>Flávio</t>
        </is>
      </c>
      <c r="C59" s="15" t="inlineStr">
        <is>
          <t>Pesquisa inicial</t>
        </is>
      </c>
      <c r="D59" s="15" t="inlineStr">
        <is>
          <t>https://noticias.portaldaindustria.com.br/noticias/infraestrutura/pais-so-atingira-meta-de-universalizacao-dos-servicos-de-saneamento-em-2054-diz-estudo-da-cni/</t>
        </is>
      </c>
    </row>
    <row r="60">
      <c r="A60" s="15" t="inlineStr">
        <is>
          <t>F17</t>
        </is>
      </c>
      <c r="B60" s="15" t="inlineStr">
        <is>
          <t>Flávio</t>
        </is>
      </c>
      <c r="C60" s="15" t="inlineStr">
        <is>
          <t>Revisor</t>
        </is>
      </c>
      <c r="D60" s="15" t="inlineStr">
        <is>
          <t>https://www.poder360.com.br/eleicoes/assista-aos-2-videos-com-bolsonaro-imitando-ter-falta-de-ar/</t>
        </is>
      </c>
    </row>
    <row r="61">
      <c r="A61" s="15" t="inlineStr">
        <is>
          <t>F17</t>
        </is>
      </c>
      <c r="B61" s="15" t="inlineStr">
        <is>
          <t>Flávio</t>
        </is>
      </c>
      <c r="C61" s="15" t="inlineStr">
        <is>
          <t>Revisor</t>
        </is>
      </c>
      <c r="D61" s="15" t="inlineStr">
        <is>
          <t>https://www.poder360.com.br/coronavirus/bolsonaro-imita-pessoa-com-falta-de-ar-e-critica-mandetta/</t>
        </is>
      </c>
    </row>
    <row r="62">
      <c r="A62" s="15" t="inlineStr">
        <is>
          <t>F17</t>
        </is>
      </c>
      <c r="B62" s="15" t="inlineStr">
        <is>
          <t>Flávio</t>
        </is>
      </c>
      <c r="C62" s="15" t="inlineStr">
        <is>
          <t>Revisor</t>
        </is>
      </c>
      <c r="D62" s="15" t="inlineStr">
        <is>
          <t>https://www.em.com.br/app/noticia/politica/2021/03/18/interna_politica,1248339/amp.html</t>
        </is>
      </c>
    </row>
    <row r="63">
      <c r="A63" s="15" t="inlineStr">
        <is>
          <t>F17</t>
        </is>
      </c>
      <c r="B63" s="15" t="inlineStr">
        <is>
          <t>Flávio</t>
        </is>
      </c>
      <c r="C63" s="15" t="inlineStr">
        <is>
          <t>Pesquisa inicial</t>
        </is>
      </c>
      <c r="D63" s="15" t="inlineStr">
        <is>
          <t>https://www.poder360.com.br/governo/bolsonaro-volta-a-imitar-pessoa-com-falta-de-ar-e-chama-mandetta-de-canalha/</t>
        </is>
      </c>
    </row>
    <row r="64">
      <c r="A64" s="15" t="inlineStr">
        <is>
          <t>F18</t>
        </is>
      </c>
      <c r="B64" s="15" t="inlineStr">
        <is>
          <t>Flávio</t>
        </is>
      </c>
      <c r="C64" s="15" t="inlineStr">
        <is>
          <t>Revisor</t>
        </is>
      </c>
      <c r="D64" s="15" t="inlineStr">
        <is>
          <t>https://www.cnnbrasil.com.br/nacional/brasil/mortes-violentas-caem-82-no-brasil-em-2025-sete-estados-registram-alta/</t>
        </is>
      </c>
    </row>
    <row r="65">
      <c r="A65" s="15" t="inlineStr">
        <is>
          <t>F18</t>
        </is>
      </c>
      <c r="B65" s="15" t="inlineStr">
        <is>
          <t>Flávio</t>
        </is>
      </c>
      <c r="C65" s="15" t="inlineStr">
        <is>
          <t>Revisor</t>
        </is>
      </c>
      <c r="D65" s="15" t="inlineStr">
        <is>
          <t>https://www.diariodepernambuco.com.br/vida-urbana/2026/01/11706604-pernambuco-e-o-4-estado-mais-violento-do-brasil-aponta-anuario-de-seguranca.html</t>
        </is>
      </c>
    </row>
    <row r="66">
      <c r="A66" s="15" t="inlineStr">
        <is>
          <t>F18</t>
        </is>
      </c>
      <c r="B66" s="15" t="inlineStr">
        <is>
          <t>Flávio</t>
        </is>
      </c>
      <c r="C66" s="15" t="inlineStr">
        <is>
          <t>Pesquisa inicial</t>
        </is>
      </c>
      <c r="D66" s="15" t="inlineStr">
        <is>
          <t>https://brasil61.com/n/anuario-de-seguranca-publica-nordeste-concentra-as-10-cidades-mais-violentas-do-brasil-em-2025-bras2616775.amp</t>
        </is>
      </c>
    </row>
    <row r="67">
      <c r="A67" s="15" t="inlineStr">
        <is>
          <t>F19</t>
        </is>
      </c>
      <c r="B67" s="15" t="inlineStr">
        <is>
          <t>Flávio</t>
        </is>
      </c>
      <c r="C67" s="15" t="inlineStr">
        <is>
          <t>Revisor</t>
        </is>
      </c>
      <c r="D67" s="15" t="inlineStr">
        <is>
          <t>https://www.poder360.com.br/eleicoes/lula-e-bolsonaro-disputam-ganho-politico-do-rio-sao-francisco/</t>
        </is>
      </c>
    </row>
    <row r="68">
      <c r="A68" s="15" t="inlineStr">
        <is>
          <t>F19</t>
        </is>
      </c>
      <c r="B68" s="15" t="inlineStr">
        <is>
          <t>Flávio</t>
        </is>
      </c>
      <c r="C68" s="15" t="inlineStr">
        <is>
          <t>Revisor</t>
        </is>
      </c>
      <c r="D68" s="15" t="inlineStr">
        <is>
          <t>https://diariodonordeste.verdesmares.com.br/regiao/obra-da-transposicao-do-sao-francisco-atrasa-mais-uma-vez-1.2043082</t>
        </is>
      </c>
    </row>
    <row r="69">
      <c r="A69" s="15" t="inlineStr">
        <is>
          <t>F19</t>
        </is>
      </c>
      <c r="B69" s="15" t="inlineStr">
        <is>
          <t>Flávio</t>
        </is>
      </c>
      <c r="C69" s="15" t="inlineStr">
        <is>
          <t>Revisor</t>
        </is>
      </c>
      <c r="D69" s="15" t="inlineStr">
        <is>
          <t>https://www.folhavitoria.com.br/economia/ministro-promete-transposicao-do-sao-francisco-para-2016/</t>
        </is>
      </c>
    </row>
    <row r="70">
      <c r="A70" s="15" t="inlineStr">
        <is>
          <t>F19</t>
        </is>
      </c>
      <c r="B70" s="15" t="inlineStr">
        <is>
          <t>Flávio</t>
        </is>
      </c>
      <c r="C70" s="15" t="inlineStr">
        <is>
          <t>Pesquisa inicial</t>
        </is>
      </c>
      <c r="D70" s="15" t="inlineStr">
        <is>
          <t>https://www.tnh1.com.br/noticia/nid/em-pe-dilma-diz-que-obra-de-integracao-do-sao-francisco-sera-concluida-em-2016/</t>
        </is>
      </c>
    </row>
    <row r="71">
      <c r="A71" s="15" t="inlineStr">
        <is>
          <t>F19</t>
        </is>
      </c>
      <c r="B71" s="15" t="inlineStr">
        <is>
          <t>Flávio</t>
        </is>
      </c>
      <c r="C71" s="15" t="inlineStr">
        <is>
          <t>Pesquisa inicial</t>
        </is>
      </c>
      <c r="D71" s="15" t="inlineStr">
        <is>
          <t>https://www.jb.com.br/pais/2019/04/996911-stj-autoriza-continuidade-das-obras-de-transposicao-do-sao-francisco.html</t>
        </is>
      </c>
    </row>
    <row r="72">
      <c r="A72" s="15" t="inlineStr">
        <is>
          <t>F20</t>
        </is>
      </c>
      <c r="B72" s="15" t="inlineStr">
        <is>
          <t>Flávio</t>
        </is>
      </c>
      <c r="C72" s="15" t="inlineStr">
        <is>
          <t>Revisor</t>
        </is>
      </c>
      <c r="D72" s="15" t="inlineStr">
        <is>
          <t>https://www12.senado.leg.br/publicacoes/estudos-legislativos/tipos-de-estudos/outras-publicacoes/agenda-legislativa/capitulo-22-o-programa-bolsa-familia-caminhos-futuros</t>
        </is>
      </c>
    </row>
    <row r="73">
      <c r="A73" s="15" t="inlineStr">
        <is>
          <t>F20</t>
        </is>
      </c>
      <c r="B73" s="15" t="inlineStr">
        <is>
          <t>Flávio</t>
        </is>
      </c>
      <c r="C73" s="15" t="inlineStr">
        <is>
          <t>Revisor</t>
        </is>
      </c>
      <c r="D73" s="15" t="inlineStr">
        <is>
          <t>https://www12.senado.leg.br/publicacoes/estudos-legislativos/tipos-de-estudos/boletins-legislativos/bol102</t>
        </is>
      </c>
    </row>
    <row r="74">
      <c r="A74" s="15" t="inlineStr">
        <is>
          <t>F20</t>
        </is>
      </c>
      <c r="B74" s="15" t="inlineStr">
        <is>
          <t>Flávio</t>
        </is>
      </c>
      <c r="C74" s="15" t="inlineStr">
        <is>
          <t>Revisor</t>
        </is>
      </c>
      <c r="D74" s="15" t="inlineStr">
        <is>
          <t>https://www.canalrural.com.br/agricultura/bolsa-familia-fechara-2010-com-128-milhoes-familias-atendidas-18834/</t>
        </is>
      </c>
    </row>
    <row r="75">
      <c r="A75" s="15" t="inlineStr">
        <is>
          <t>F20</t>
        </is>
      </c>
      <c r="B75" s="15" t="inlineStr">
        <is>
          <t>Flávio</t>
        </is>
      </c>
      <c r="C75" s="15" t="inlineStr">
        <is>
          <t>Pesquisa inicial</t>
        </is>
      </c>
      <c r="D75" s="15" t="inlineStr">
        <is>
          <t>https://tribunadosertao.com.br/financas/2026/09/17/980641-antes-de-reajuste-anunciado-por-lula-valor-minimo-do-bolsa-familia-estava-em-r-600-desde-agosto-de-2022</t>
        </is>
      </c>
    </row>
    <row r="76">
      <c r="A76" s="15" t="inlineStr">
        <is>
          <t>F21</t>
        </is>
      </c>
      <c r="B76" s="15" t="inlineStr">
        <is>
          <t>Flávio</t>
        </is>
      </c>
      <c r="C76" s="15" t="inlineStr">
        <is>
          <t>Revisor</t>
        </is>
      </c>
      <c r="D76" s="15" t="inlineStr">
        <is>
          <t>https://portaldeprefeitura.com.br/brasil/populacao-em-situacao-de-rua-inscrita-no-cadunico-chega-3924-mil-no/626258/</t>
        </is>
      </c>
    </row>
    <row r="77">
      <c r="A77" s="15" t="inlineStr">
        <is>
          <t>F21</t>
        </is>
      </c>
      <c r="B77" s="15" t="inlineStr">
        <is>
          <t>Flávio</t>
        </is>
      </c>
      <c r="C77" s="15" t="inlineStr">
        <is>
          <t>Revisor</t>
        </is>
      </c>
      <c r="D77" s="15" t="inlineStr">
        <is>
          <t>https://www.jornalopcao.com.br/ultimas-noticias/populacao-em-situacao-de-rua-quase-dobra-no-brasil-desde-o-inicio-do-governo-lula-goias-registra-alta-de-121-844337/</t>
        </is>
      </c>
    </row>
    <row r="78">
      <c r="A78" s="15" t="inlineStr">
        <is>
          <t>F21</t>
        </is>
      </c>
      <c r="B78" s="15" t="inlineStr">
        <is>
          <t>Flávio</t>
        </is>
      </c>
      <c r="C78" s="15" t="inlineStr">
        <is>
          <t>Revisor</t>
        </is>
      </c>
      <c r="D78" s="15" t="inlineStr">
        <is>
          <t>https://exame.com/brasil/mais-de-335-mil-pessoas-vivem-em-situacao-de-rua-no-brasil/</t>
        </is>
      </c>
    </row>
    <row r="79">
      <c r="A79" s="15" t="inlineStr">
        <is>
          <t>F21</t>
        </is>
      </c>
      <c r="B79" s="15" t="inlineStr">
        <is>
          <t>Flávio</t>
        </is>
      </c>
      <c r="C79" s="15" t="inlineStr">
        <is>
          <t>Pesquisa inicial</t>
        </is>
      </c>
      <c r="D79" s="15" t="inlineStr">
        <is>
          <t>https://www.gov.br/mdh/pt-br/navegue-por-temas/populacao-em-situacao-de-rua/publicacoes/relat_pop_rua_digital.pdf</t>
        </is>
      </c>
    </row>
    <row r="80">
      <c r="A80" s="15" t="inlineStr">
        <is>
          <t>F22</t>
        </is>
      </c>
      <c r="B80" s="15" t="inlineStr">
        <is>
          <t>Flávio</t>
        </is>
      </c>
      <c r="C80" s="15" t="inlineStr">
        <is>
          <t>Revisor</t>
        </is>
      </c>
      <c r="D80" s="15" t="inlineStr">
        <is>
          <t>https://sbtnews.sbt.com.br/noticia/economia/bolsa-familia-veja-calendario-de-outubro-com-novo-reajuste</t>
        </is>
      </c>
    </row>
    <row r="81">
      <c r="A81" s="15" t="inlineStr">
        <is>
          <t>F22</t>
        </is>
      </c>
      <c r="B81" s="15" t="inlineStr">
        <is>
          <t>Flávio</t>
        </is>
      </c>
      <c r="C81" s="15" t="inlineStr">
        <is>
          <t>Revisor</t>
        </is>
      </c>
      <c r="D81" s="15" t="inlineStr">
        <is>
          <t>https://www.dgabc.com.br/Noticia/4347515/bolsa-familia-e-reajustado-em-15-medida-vale-a-partir-de-outubro</t>
        </is>
      </c>
    </row>
    <row r="82">
      <c r="A82" s="15" t="inlineStr">
        <is>
          <t>F22</t>
        </is>
      </c>
      <c r="B82" s="15" t="inlineStr">
        <is>
          <t>Flávio</t>
        </is>
      </c>
      <c r="C82" s="15" t="inlineStr">
        <is>
          <t>Pesquisa inicial</t>
        </is>
      </c>
      <c r="D82" s="15" t="inlineStr">
        <is>
          <t>https://www.opovo.com.br/trends/bolsa-familia-sobe-15-em-outubro-minimo-vai-a-r-691-e-valor-medio-projetado-chega-a-r-777/</t>
        </is>
      </c>
    </row>
    <row r="83">
      <c r="A83" s="15" t="inlineStr">
        <is>
          <t>F22</t>
        </is>
      </c>
      <c r="B83" s="15" t="inlineStr">
        <is>
          <t>Flávio</t>
        </is>
      </c>
      <c r="C83" s="15" t="inlineStr">
        <is>
          <t>Pesquisa inicial</t>
        </is>
      </c>
      <c r="D83" s="15" t="inlineStr">
        <is>
          <t>https://tribunadejundiai.com.br/politica/lula-aumenta-bolsa-familia-a-17-dias-das-eleicoes/</t>
        </is>
      </c>
    </row>
    <row r="84">
      <c r="A84" s="15" t="inlineStr">
        <is>
          <t>F23</t>
        </is>
      </c>
      <c r="B84" s="15" t="inlineStr">
        <is>
          <t>Flávio</t>
        </is>
      </c>
      <c r="C84" s="15" t="inlineStr">
        <is>
          <t>Revisor</t>
        </is>
      </c>
      <c r="D84" s="15" t="inlineStr">
        <is>
          <t>https://www.correiobraziliense.com.br/brasil/2026/07/amp/7467099-feminicidios-batem-recorde-em-2025-mostra-anuario-da-seguranca.html</t>
        </is>
      </c>
    </row>
    <row r="85">
      <c r="A85" s="15" t="inlineStr">
        <is>
          <t>F23</t>
        </is>
      </c>
      <c r="B85" s="15" t="inlineStr">
        <is>
          <t>Flávio</t>
        </is>
      </c>
      <c r="C85" s="15" t="inlineStr">
        <is>
          <t>Revisor</t>
        </is>
      </c>
      <c r="D85" s="15" t="inlineStr">
        <is>
          <t>https://www.correiodamanha.com.br/nacional/brasil/2026/07/304588-feminicidios-atingem-recorde-no-brasil-enquanto-homicidios-recuam.html</t>
        </is>
      </c>
    </row>
    <row r="86">
      <c r="A86" s="15" t="inlineStr">
        <is>
          <t>F23</t>
        </is>
      </c>
      <c r="B86" s="15" t="inlineStr">
        <is>
          <t>Flávio</t>
        </is>
      </c>
      <c r="C86" s="15" t="inlineStr">
        <is>
          <t>Revisor</t>
        </is>
      </c>
      <c r="D86" s="15" t="inlineStr">
        <is>
          <t>https://www.cnnbrasil.com.br/nacional/brasil/brasil-bate-recorde-de-feminicidios-pelo-quarto-ano-seguido/</t>
        </is>
      </c>
    </row>
    <row r="87">
      <c r="A87" s="15" t="inlineStr">
        <is>
          <t>F24</t>
        </is>
      </c>
      <c r="B87" s="15" t="inlineStr">
        <is>
          <t>Flávio</t>
        </is>
      </c>
      <c r="C87" s="15" t="inlineStr">
        <is>
          <t>Revisor</t>
        </is>
      </c>
      <c r="D87" s="15" t="inlineStr">
        <is>
          <t>https://www.dgabc.com.br/Noticia/4317691/inadimplencia-bate-82-8-milhoes-de-brasileiros-em-marco-segundo-serasa</t>
        </is>
      </c>
    </row>
    <row r="88">
      <c r="A88" s="15" t="inlineStr">
        <is>
          <t>F24</t>
        </is>
      </c>
      <c r="B88" s="15" t="inlineStr">
        <is>
          <t>Flávio</t>
        </is>
      </c>
      <c r="C88" s="15" t="inlineStr">
        <is>
          <t>Pesquisa inicial</t>
        </is>
      </c>
      <c r="D88" s="15" t="inlineStr">
        <is>
          <t>https://www.serasa.com.br/imprensa/inadimplencia-segundo-semestre-serasa/</t>
        </is>
      </c>
    </row>
    <row r="89">
      <c r="A89" s="15" t="inlineStr">
        <is>
          <t>F24</t>
        </is>
      </c>
      <c r="B89" s="15" t="inlineStr">
        <is>
          <t>Flávio</t>
        </is>
      </c>
      <c r="C89" s="15" t="inlineStr">
        <is>
          <t>Pesquisa inicial</t>
        </is>
      </c>
      <c r="D89" s="15" t="inlineStr">
        <is>
          <t>https://jornalgrandebahia.com.br/2026/03/inadimplencia-no-brasil-atinge-817-milhoes-e-cresce-38-em-uma-decada-aponta-serasa/</t>
        </is>
      </c>
    </row>
    <row r="90">
      <c r="A90" s="15" t="inlineStr">
        <is>
          <t>F25</t>
        </is>
      </c>
      <c r="B90" s="15" t="inlineStr">
        <is>
          <t>Flávio</t>
        </is>
      </c>
      <c r="C90" s="15" t="inlineStr">
        <is>
          <t>Revisor</t>
        </is>
      </c>
      <c r="D90" s="15" t="inlineStr">
        <is>
          <t>https://www.bnewssaopaulo.com.br/noticias/policia/fim-da-cracolandia-veja-o-que-diz-ricardo-nunes-sobre-o-avanco.html</t>
        </is>
      </c>
    </row>
    <row r="91">
      <c r="A91" s="15" t="inlineStr">
        <is>
          <t>F25</t>
        </is>
      </c>
      <c r="B91" s="15" t="inlineStr">
        <is>
          <t>Flávio</t>
        </is>
      </c>
      <c r="C91" s="15" t="inlineStr">
        <is>
          <t>Revisor</t>
        </is>
      </c>
      <c r="D91" s="15" t="inlineStr">
        <is>
          <t>https://www.bnewssaopaulo.com.br/noticias/politica/fim-cracolandia-esvaziamento-repentino-levanta-questionamento-sp.html</t>
        </is>
      </c>
    </row>
    <row r="92">
      <c r="A92" s="15" t="inlineStr">
        <is>
          <t>F25</t>
        </is>
      </c>
      <c r="B92" s="15" t="inlineStr">
        <is>
          <t>Flávio</t>
        </is>
      </c>
      <c r="C92" s="15" t="inlineStr">
        <is>
          <t>Revisor</t>
        </is>
      </c>
      <c r="D92" s="15" t="inlineStr">
        <is>
          <t>https://jornaldebrasilia.com.br/noticias/politica-e-poder/vice-de-nunes-cotado-para-2026-ataca-tarcisio-e-prefeito-por-fatura-politica-com-cracolandia/</t>
        </is>
      </c>
    </row>
    <row r="93">
      <c r="A93" s="15" t="inlineStr">
        <is>
          <t>F26</t>
        </is>
      </c>
      <c r="B93" s="15" t="inlineStr">
        <is>
          <t>Flávio</t>
        </is>
      </c>
      <c r="C93" s="15" t="inlineStr">
        <is>
          <t>Revisor</t>
        </is>
      </c>
      <c r="D93" s="15" t="inlineStr">
        <is>
          <t>https://www.poder360.com.br/poder-economia/divida-bruta-atinge-829-do-pib-em-agosto-diz-banco-central/</t>
        </is>
      </c>
    </row>
    <row r="94">
      <c r="A94" s="15" t="inlineStr">
        <is>
          <t>F26</t>
        </is>
      </c>
      <c r="B94" s="15" t="inlineStr">
        <is>
          <t>Flávio</t>
        </is>
      </c>
      <c r="C94" s="15" t="inlineStr">
        <is>
          <t>Revisor</t>
        </is>
      </c>
      <c r="D94" s="15" t="inlineStr">
        <is>
          <t>https://api.bcb.gov.br/dados/serie/bcdata.sgs.432/dados/ultimos/5?formato=json</t>
        </is>
      </c>
    </row>
    <row r="95">
      <c r="A95" s="15" t="inlineStr">
        <is>
          <t>F26</t>
        </is>
      </c>
      <c r="B95" s="15" t="inlineStr">
        <is>
          <t>Flávio</t>
        </is>
      </c>
      <c r="C95" s="15" t="inlineStr">
        <is>
          <t>Pesquisa inicial</t>
        </is>
      </c>
      <c r="D95" s="15" t="inlineStr">
        <is>
          <t>https://www.tribunapr.com.br/noticias/economia/divida-publica-brasileira-atinge-r-111-trilhoes-em-agosto-de-2026/</t>
        </is>
      </c>
    </row>
    <row r="96">
      <c r="A96" s="15" t="inlineStr">
        <is>
          <t>F26</t>
        </is>
      </c>
      <c r="B96" s="15" t="inlineStr">
        <is>
          <t>Flávio</t>
        </is>
      </c>
      <c r="C96" s="15" t="inlineStr">
        <is>
          <t>Pesquisa inicial</t>
        </is>
      </c>
      <c r="D96" s="15" t="inlineStr">
        <is>
          <t>https://www.moneytimes.com.br/divida-bruta-do-brasil-sobe-a-829-do-pib-em-agosto/</t>
        </is>
      </c>
    </row>
    <row r="97">
      <c r="A97" s="15" t="inlineStr">
        <is>
          <t>F26</t>
        </is>
      </c>
      <c r="B97" s="15" t="inlineStr">
        <is>
          <t>Flávio</t>
        </is>
      </c>
      <c r="C97" s="15" t="inlineStr">
        <is>
          <t>Pesquisa inicial</t>
        </is>
      </c>
      <c r="D97" s="15" t="inlineStr">
        <is>
          <t>https://atlaspublico.com.br/bcb/noticias/copom-reduz-selic-para-13-75pct-ao-ano-em-decisao-unanime-87748</t>
        </is>
      </c>
    </row>
    <row r="98">
      <c r="A98" s="15" t="inlineStr">
        <is>
          <t>F27</t>
        </is>
      </c>
      <c r="B98" s="15" t="inlineStr">
        <is>
          <t>Flávio</t>
        </is>
      </c>
      <c r="C98" s="15" t="inlineStr">
        <is>
          <t>Revisor</t>
        </is>
      </c>
      <c r="D98" s="15" t="inlineStr">
        <is>
          <t>https://olinda.bcb.gov.br/olinda/servico/Expectativas/versao/v1/odata/ExpectativasMercadoAnuais?$top=20&amp;$filter=Indicador%20eq%20'Selic'%20and%20Data%20eq%20'2022-10-28'&amp;$format=json</t>
        </is>
      </c>
    </row>
    <row r="99">
      <c r="A99" s="15" t="inlineStr">
        <is>
          <t>F27</t>
        </is>
      </c>
      <c r="B99" s="15" t="inlineStr">
        <is>
          <t>Flávio</t>
        </is>
      </c>
      <c r="C99" s="15" t="inlineStr">
        <is>
          <t>Revisor</t>
        </is>
      </c>
      <c r="D99" s="15" t="inlineStr">
        <is>
          <t>https://www.bcb.gov.br/content/focus/focus/R20221028.pdf</t>
        </is>
      </c>
    </row>
    <row r="100">
      <c r="A100" s="15" t="inlineStr">
        <is>
          <t>F27</t>
        </is>
      </c>
      <c r="B100" s="15" t="inlineStr">
        <is>
          <t>Flávio</t>
        </is>
      </c>
      <c r="C100" s="15" t="inlineStr">
        <is>
          <t>Revisor</t>
        </is>
      </c>
      <c r="D100" s="15" t="inlineStr">
        <is>
          <t>https://www.poder360.com.br/poder-economia/mercado-eleva-projecao-da-selic-para-135-em-2026/</t>
        </is>
      </c>
    </row>
    <row r="101">
      <c r="A101" s="15" t="inlineStr">
        <is>
          <t>F27</t>
        </is>
      </c>
      <c r="B101" s="15" t="inlineStr">
        <is>
          <t>Flávio</t>
        </is>
      </c>
      <c r="C101" s="15" t="inlineStr">
        <is>
          <t>Revisor</t>
        </is>
      </c>
      <c r="D101" s="15" t="inlineStr">
        <is>
          <t>https://api.bcb.gov.br/dados/serie/bcdata.sgs.432/dados/ultimos/3?formato=json</t>
        </is>
      </c>
    </row>
    <row r="102">
      <c r="A102" s="15" t="inlineStr">
        <is>
          <t>F28</t>
        </is>
      </c>
      <c r="B102" s="15" t="inlineStr">
        <is>
          <t>Flávio</t>
        </is>
      </c>
      <c r="C102" s="15" t="inlineStr">
        <is>
          <t>Revisor</t>
        </is>
      </c>
      <c r="D102" s="15" t="inlineStr">
        <is>
          <t>https://www.poder360.com.br/poder-economia/divida-bruta-atinge-829-do-pib-em-agosto-diz-banco-central/</t>
        </is>
      </c>
    </row>
    <row r="103">
      <c r="A103" s="15" t="inlineStr">
        <is>
          <t>F28</t>
        </is>
      </c>
      <c r="B103" s="15" t="inlineStr">
        <is>
          <t>Flávio</t>
        </is>
      </c>
      <c r="C103" s="15" t="inlineStr">
        <is>
          <t>Revisor</t>
        </is>
      </c>
      <c r="D103" s="15" t="inlineStr">
        <is>
          <t>https://www.opovo.com.br/noticias/economia/2026/07/31/deficit-do-setor-publico-sobe-para-rs-553-bilhoes-em-junho.html</t>
        </is>
      </c>
    </row>
    <row r="104">
      <c r="A104" s="15" t="inlineStr">
        <is>
          <t>F28</t>
        </is>
      </c>
      <c r="B104" s="15" t="inlineStr">
        <is>
          <t>Flávio</t>
        </is>
      </c>
      <c r="C104" s="15" t="inlineStr">
        <is>
          <t>Pesquisa inicial</t>
        </is>
      </c>
      <c r="D104" s="15" t="inlineStr">
        <is>
          <t>https://borainvestir.b3.com.br/noticias/deficit-do-setor-publico-sobe-para-r-553-bilhoes-em-junho/</t>
        </is>
      </c>
    </row>
    <row r="105">
      <c r="A105" s="15" t="inlineStr">
        <is>
          <t>F28</t>
        </is>
      </c>
      <c r="B105" s="15" t="inlineStr">
        <is>
          <t>Flávio</t>
        </is>
      </c>
      <c r="C105" s="15" t="inlineStr">
        <is>
          <t>Pesquisa inicial</t>
        </is>
      </c>
      <c r="D105" s="15" t="inlineStr">
        <is>
          <t>https://ohoje.com/coluna/rombo-causado-pelos-juros-ja-supera-um-trilhao-de-reais/</t>
        </is>
      </c>
    </row>
    <row r="106">
      <c r="A106" s="15" t="inlineStr">
        <is>
          <t>F29</t>
        </is>
      </c>
      <c r="B106" s="15" t="inlineStr">
        <is>
          <t>Flávio</t>
        </is>
      </c>
      <c r="C106" s="15" t="inlineStr">
        <is>
          <t>Revisor</t>
        </is>
      </c>
      <c r="D106" s="15" t="inlineStr">
        <is>
          <t>https://www.moneytimes.com.br/juros-futuros-6-10-26-apsa/</t>
        </is>
      </c>
    </row>
    <row r="107">
      <c r="A107" s="15" t="inlineStr">
        <is>
          <t>F29</t>
        </is>
      </c>
      <c r="B107" s="15" t="inlineStr">
        <is>
          <t>Flávio</t>
        </is>
      </c>
      <c r="C107" s="15" t="inlineStr">
        <is>
          <t>Revisor</t>
        </is>
      </c>
      <c r="D107" s="15" t="inlineStr">
        <is>
          <t>https://www.moneytimes.com.br/juros-futuros-8-10-26-apsa/</t>
        </is>
      </c>
    </row>
    <row r="108">
      <c r="A108" s="15" t="inlineStr">
        <is>
          <t>F29</t>
        </is>
      </c>
      <c r="B108" s="15" t="inlineStr">
        <is>
          <t>Flávio</t>
        </is>
      </c>
      <c r="C108" s="15" t="inlineStr">
        <is>
          <t>Revisor</t>
        </is>
      </c>
      <c r="D108" s="15" t="inlineStr">
        <is>
          <t>https://www.moneytimes.com.br/juros-futuros-9-10-26-apsa/</t>
        </is>
      </c>
    </row>
    <row r="109">
      <c r="A109" s="15" t="inlineStr">
        <is>
          <t>F29</t>
        </is>
      </c>
      <c r="B109" s="15" t="inlineStr">
        <is>
          <t>Flávio</t>
        </is>
      </c>
      <c r="C109" s="15" t="inlineStr">
        <is>
          <t>Revisor</t>
        </is>
      </c>
      <c r="D109" s="15" t="inlineStr">
        <is>
          <t>https://www.dgabc.com.br/Noticia/4352530/taxas-de-juros-tem-firme-alta-na-sessao-com-menor-otimismo-sobre-vitoria-de-flavio</t>
        </is>
      </c>
    </row>
    <row r="110">
      <c r="A110" s="15" t="inlineStr">
        <is>
          <t>F29</t>
        </is>
      </c>
      <c r="B110" s="15" t="inlineStr">
        <is>
          <t>Flávio</t>
        </is>
      </c>
      <c r="C110" s="15" t="inlineStr">
        <is>
          <t>Revisor</t>
        </is>
      </c>
      <c r="D110" s="15" t="inlineStr">
        <is>
          <t>https://www.dgabc.com.br/Noticia/4351949/taxas-de-juros-recuam-com-trade-eleitoral-apesar-de-ipca-acima-do-esperado</t>
        </is>
      </c>
    </row>
    <row r="111">
      <c r="A111" s="15" t="inlineStr">
        <is>
          <t>F29</t>
        </is>
      </c>
      <c r="B111" s="15" t="inlineStr">
        <is>
          <t>Flávio</t>
        </is>
      </c>
      <c r="C111" s="15" t="inlineStr">
        <is>
          <t>Pesquisa inicial</t>
        </is>
      </c>
      <c r="D111" s="15" t="inlineStr">
        <is>
          <t>https://www.canalrural.com.br/economia/juros-futuros-caem-mais-de-1-ponto-apos-resultado-do-1o-turno/</t>
        </is>
      </c>
    </row>
    <row r="112">
      <c r="A112" s="15" t="inlineStr">
        <is>
          <t>F29</t>
        </is>
      </c>
      <c r="B112" s="15" t="inlineStr">
        <is>
          <t>Flávio</t>
        </is>
      </c>
      <c r="C112" s="15" t="inlineStr">
        <is>
          <t>Pesquisa inicial</t>
        </is>
      </c>
      <c r="D112" s="15" t="inlineStr">
        <is>
          <t>https://www.moneytimes.com.br/juros-futuros-7-10-26-apsa/</t>
        </is>
      </c>
    </row>
    <row r="113">
      <c r="A113" s="15" t="inlineStr">
        <is>
          <t>F30</t>
        </is>
      </c>
      <c r="B113" s="15" t="inlineStr">
        <is>
          <t>Flávio</t>
        </is>
      </c>
      <c r="C113" s="15" t="inlineStr">
        <is>
          <t>Revisor</t>
        </is>
      </c>
      <c r="D113" s="15" t="inlineStr">
        <is>
          <t>https://www.poder360.com.br/poder-governo/lula-aumentou-impostos-27-vezes-em-3-anos-no-planalto/</t>
        </is>
      </c>
    </row>
    <row r="114">
      <c r="A114" s="15" t="inlineStr">
        <is>
          <t>F30</t>
        </is>
      </c>
      <c r="B114" s="15" t="inlineStr">
        <is>
          <t>Flávio</t>
        </is>
      </c>
      <c r="C114" s="15" t="inlineStr">
        <is>
          <t>Revisor</t>
        </is>
      </c>
      <c r="D114" s="15" t="inlineStr">
        <is>
          <t>https://exame.com/economia/com-mp-dos-impostos-governo-lula-adotou-ao-menos-37-medidas-para-elevar-arrecadacao-desde-2023/</t>
        </is>
      </c>
    </row>
    <row r="115">
      <c r="A115" s="15" t="inlineStr">
        <is>
          <t>F31</t>
        </is>
      </c>
      <c r="B115" s="15" t="inlineStr">
        <is>
          <t>Flávio</t>
        </is>
      </c>
      <c r="C115" s="15" t="inlineStr">
        <is>
          <t>Revisor</t>
        </is>
      </c>
      <c r="D115" s="15" t="inlineStr">
        <is>
          <t>https://www.poder360.com.br/governo/lula-diz-que-constituicao-garante-direitos-e-cobra-sua-protecao/</t>
        </is>
      </c>
    </row>
    <row r="116">
      <c r="A116" s="15" t="inlineStr">
        <is>
          <t>F31</t>
        </is>
      </c>
      <c r="B116" s="15" t="inlineStr">
        <is>
          <t>Flávio</t>
        </is>
      </c>
      <c r="C116" s="15" t="inlineStr">
        <is>
          <t>Revisor</t>
        </is>
      </c>
      <c r="D116" s="15" t="inlineStr">
        <is>
          <t>https://arpensp.org.br/noticia/7886</t>
        </is>
      </c>
    </row>
    <row r="117">
      <c r="A117" s="15" t="inlineStr">
        <is>
          <t>F32</t>
        </is>
      </c>
      <c r="B117" s="15" t="inlineStr">
        <is>
          <t>Flávio</t>
        </is>
      </c>
      <c r="C117" s="15" t="inlineStr">
        <is>
          <t>Revisor</t>
        </is>
      </c>
      <c r="D117" s="15" t="inlineStr">
        <is>
          <t>https://jornaldebrasilia.com.br/noticias/saude/aumenta-espera-por-cirurgia-de-cancer-no-sus-aponta-tcu/</t>
        </is>
      </c>
    </row>
    <row r="118">
      <c r="A118" s="15" t="inlineStr">
        <is>
          <t>F33</t>
        </is>
      </c>
      <c r="B118" s="15" t="inlineStr">
        <is>
          <t>Flávio</t>
        </is>
      </c>
      <c r="C118" s="15" t="inlineStr">
        <is>
          <t>Revisor</t>
        </is>
      </c>
      <c r="D118" s="15" t="inlineStr">
        <is>
          <t>https://www12.senado.leg.br/noticias/materias/2024/01/17/sancionada-lei-que-estabelece-reajuste-anual-da-tabela-do-sus</t>
        </is>
      </c>
    </row>
    <row r="119">
      <c r="A119" s="15" t="inlineStr">
        <is>
          <t>F33</t>
        </is>
      </c>
      <c r="B119" s="15" t="inlineStr">
        <is>
          <t>Flávio</t>
        </is>
      </c>
      <c r="C119" s="15" t="inlineStr">
        <is>
          <t>Revisor</t>
        </is>
      </c>
      <c r="D119" s="15" t="inlineStr">
        <is>
          <t>https://www.campograndenews.com.br/politica/defasada-desde-2013-lula-sanciona-lei-que-garante-reajuste-anual-na-tabela-sus</t>
        </is>
      </c>
    </row>
    <row r="120">
      <c r="A120" s="15" t="inlineStr">
        <is>
          <t>F33</t>
        </is>
      </c>
      <c r="B120" s="15" t="inlineStr">
        <is>
          <t>Flávio</t>
        </is>
      </c>
      <c r="C120" s="15" t="inlineStr">
        <is>
          <t>Pesquisa inicial</t>
        </is>
      </c>
      <c r="D120" s="15" t="inlineStr">
        <is>
          <t>https://futurodasaude.com.br/?p=21331</t>
        </is>
      </c>
    </row>
    <row r="121">
      <c r="A121" s="15" t="inlineStr">
        <is>
          <t>F33</t>
        </is>
      </c>
      <c r="B121" s="15" t="inlineStr">
        <is>
          <t>Flávio</t>
        </is>
      </c>
      <c r="C121" s="15" t="inlineStr">
        <is>
          <t>Pesquisa inicial</t>
        </is>
      </c>
      <c r="D121" s="15" t="inlineStr">
        <is>
          <t>https://futurodasaude.com.br/?p=25281</t>
        </is>
      </c>
    </row>
    <row r="122">
      <c r="A122" s="15" t="inlineStr">
        <is>
          <t>F34</t>
        </is>
      </c>
      <c r="B122" s="15" t="inlineStr">
        <is>
          <t>Flávio</t>
        </is>
      </c>
      <c r="C122" s="15" t="inlineStr">
        <is>
          <t>Revisor</t>
        </is>
      </c>
      <c r="D122" s="15" t="inlineStr">
        <is>
          <t>https://www.acessa.com/noticias/2026/03/317594-tabela-sus-paulista-reforca-caixa-dos-hospitais-e-eleva-atendimentos-mas-impacto-e-incerto.html</t>
        </is>
      </c>
    </row>
    <row r="123">
      <c r="A123" s="15" t="inlineStr">
        <is>
          <t>F34</t>
        </is>
      </c>
      <c r="B123" s="15" t="inlineStr">
        <is>
          <t>Flávio</t>
        </is>
      </c>
      <c r="C123" s="15" t="inlineStr">
        <is>
          <t>Revisor</t>
        </is>
      </c>
      <c r="D123" s="15" t="inlineStr">
        <is>
          <t>https://www.agenciasp.sp.gov.br/sp-realiza-13-milhao-de-cirurgias-eletivas-em-2025-maior-numero-da-historia-do-sus-paulista/</t>
        </is>
      </c>
    </row>
    <row r="124">
      <c r="A124" s="15" t="inlineStr">
        <is>
          <t>F34</t>
        </is>
      </c>
      <c r="B124" s="15" t="inlineStr">
        <is>
          <t>Flávio</t>
        </is>
      </c>
      <c r="C124" s="15" t="inlineStr">
        <is>
          <t>Revisor</t>
        </is>
      </c>
      <c r="D124" s="15" t="inlineStr">
        <is>
          <t>https://www.dgabc.com.br/Noticia/4340242/tarcisio-defende-que-ampliou-quantidade-de-leitos-hospitalares-e-cirurgias-em-sp</t>
        </is>
      </c>
    </row>
    <row r="125">
      <c r="A125" s="15" t="inlineStr">
        <is>
          <t>F34</t>
        </is>
      </c>
      <c r="B125" s="15" t="inlineStr">
        <is>
          <t>Flávio</t>
        </is>
      </c>
      <c r="C125" s="15" t="inlineStr">
        <is>
          <t>Revisor</t>
        </is>
      </c>
      <c r="D125" s="15" t="inlineStr">
        <is>
          <t>https://www.correiodamanha.com.br/nacional/sao-paulo/campinas/2026/06/298074-sus-de-campinas-baixa-e-tarcisio-prove-band-aid-para-estancar-hemorragia.html</t>
        </is>
      </c>
    </row>
    <row r="126">
      <c r="A126" s="15" t="inlineStr">
        <is>
          <t>F35</t>
        </is>
      </c>
      <c r="B126" s="15" t="inlineStr">
        <is>
          <t>Flávio</t>
        </is>
      </c>
      <c r="C126" s="15" t="inlineStr">
        <is>
          <t>Revisor</t>
        </is>
      </c>
      <c r="D126" s="15" t="inlineStr">
        <is>
          <t>https://www.folhape.com.br/economia/lula-pede-acao-do-consumidor-contra-a-inflacao-se-o-produto-esta/390033/</t>
        </is>
      </c>
    </row>
    <row r="127">
      <c r="A127" s="15" t="inlineStr">
        <is>
          <t>F35</t>
        </is>
      </c>
      <c r="B127" s="15" t="inlineStr">
        <is>
          <t>Flávio</t>
        </is>
      </c>
      <c r="C127" s="15" t="inlineStr">
        <is>
          <t>Revisor</t>
        </is>
      </c>
      <c r="D127" s="15" t="inlineStr">
        <is>
          <t>https://www.correiobraziliense.com.br/politica/2025/02/7054723-lula-sugere-boicote-a-alimentos-caros-e-e-atacado-pela-oposicao.html</t>
        </is>
      </c>
    </row>
    <row r="128">
      <c r="A128" s="15" t="inlineStr">
        <is>
          <t>F35</t>
        </is>
      </c>
      <c r="B128" s="15" t="inlineStr">
        <is>
          <t>Flávio</t>
        </is>
      </c>
      <c r="C128" s="15" t="inlineStr">
        <is>
          <t>Pesquisa inicial</t>
        </is>
      </c>
      <c r="D128" s="15" t="inlineStr">
        <is>
          <t>https://www.infomoney.com.br/?p=2754557</t>
        </is>
      </c>
    </row>
    <row r="129">
      <c r="A129" s="15" t="inlineStr">
        <is>
          <t>F36</t>
        </is>
      </c>
      <c r="B129" s="15" t="inlineStr">
        <is>
          <t>Flávio</t>
        </is>
      </c>
      <c r="C129" s="15" t="inlineStr">
        <is>
          <t>Revisor</t>
        </is>
      </c>
      <c r="D129" s="15" t="inlineStr">
        <is>
          <t>https://www.bemparana.com.br/noticias/economia/alta-da-picanha-no-governo-lula-e-menor-que-no-mandato-bolsonaro/</t>
        </is>
      </c>
    </row>
    <row r="130">
      <c r="A130" s="15" t="inlineStr">
        <is>
          <t>F36</t>
        </is>
      </c>
      <c r="B130" s="15" t="inlineStr">
        <is>
          <t>Flávio</t>
        </is>
      </c>
      <c r="C130" s="15" t="inlineStr">
        <is>
          <t>Revisor</t>
        </is>
      </c>
      <c r="D130" s="15" t="inlineStr">
        <is>
          <t>https://www.dgabc.com.br/Noticia/4210004/lula-diz-que-preco-da-carne-vai-baixar-e-que-populacao-vai-voltar-a-comer-picanha</t>
        </is>
      </c>
    </row>
    <row r="131">
      <c r="A131" s="15" t="inlineStr">
        <is>
          <t>F36</t>
        </is>
      </c>
      <c r="B131" s="15" t="inlineStr">
        <is>
          <t>Flávio</t>
        </is>
      </c>
      <c r="C131" s="15" t="inlineStr">
        <is>
          <t>Pesquisa inicial</t>
        </is>
      </c>
      <c r="D131" s="15" t="inlineStr">
        <is>
          <t>https://www.diariodepernambuco.com.br/politica/2025/06/7793146-parana-pesquisas-50-dizem-que-picanha-ficou-mais-cara-no-governo-lula.html</t>
        </is>
      </c>
    </row>
    <row r="132">
      <c r="A132" s="15" t="inlineStr">
        <is>
          <t>F37</t>
        </is>
      </c>
      <c r="B132" s="15" t="inlineStr">
        <is>
          <t>Flávio</t>
        </is>
      </c>
      <c r="C132" s="15" t="inlineStr">
        <is>
          <t>Revisor</t>
        </is>
      </c>
      <c r="D132" s="15" t="inlineStr">
        <is>
          <t>https://www.infomoney.com.br/?p=3397586</t>
        </is>
      </c>
    </row>
    <row r="133">
      <c r="A133" s="15" t="inlineStr">
        <is>
          <t>F37</t>
        </is>
      </c>
      <c r="B133" s="15" t="inlineStr">
        <is>
          <t>Flávio</t>
        </is>
      </c>
      <c r="C133" s="15" t="inlineStr">
        <is>
          <t>Revisor</t>
        </is>
      </c>
      <c r="D133" s="15" t="inlineStr">
        <is>
          <t>https://forbes.com.br/forbes-money/forbes-real-estate/2026/07/caixa-credito-imobiliario-trilhao/</t>
        </is>
      </c>
    </row>
    <row r="134">
      <c r="A134" s="15" t="inlineStr">
        <is>
          <t>F37</t>
        </is>
      </c>
      <c r="B134" s="15" t="inlineStr">
        <is>
          <t>Flávio</t>
        </is>
      </c>
      <c r="C134" s="15" t="inlineStr">
        <is>
          <t>Revisor</t>
        </is>
      </c>
      <c r="D134" s="15" t="inlineStr">
        <is>
          <t>https://www.seudinheiro.com/2021/empresas/caixa-bate-recorde-historico-com-credito-imobiliario-no-primeiro-semestre-do-ano</t>
        </is>
      </c>
    </row>
    <row r="135">
      <c r="A135" s="15" t="inlineStr">
        <is>
          <t>F37</t>
        </is>
      </c>
      <c r="B135" s="15" t="inlineStr">
        <is>
          <t>Flávio</t>
        </is>
      </c>
      <c r="C135" s="15" t="inlineStr">
        <is>
          <t>Pesquisa inicial</t>
        </is>
      </c>
      <c r="D135" s="15" t="inlineStr">
        <is>
          <t>https://agenciagov.ebc.com.br/noticias/202309/caixa-registra-r-700-bi-em-carteira-de-credito-imobiliario</t>
        </is>
      </c>
    </row>
    <row r="136">
      <c r="A136" s="15" t="inlineStr">
        <is>
          <t>F37</t>
        </is>
      </c>
      <c r="B136" s="15" t="inlineStr">
        <is>
          <t>Flávio</t>
        </is>
      </c>
      <c r="C136" s="15" t="inlineStr">
        <is>
          <t>Pesquisa inicial</t>
        </is>
      </c>
      <c r="D136" s="15" t="inlineStr">
        <is>
          <t>https://bpmoney.com.br/negocios/caixa-registra-marca-de-r-700-bi-em-carteira-de-credito-imobiliario</t>
        </is>
      </c>
    </row>
    <row r="137">
      <c r="A137" s="15" t="inlineStr">
        <is>
          <t>F37</t>
        </is>
      </c>
      <c r="B137" s="15" t="inlineStr">
        <is>
          <t>Flávio</t>
        </is>
      </c>
      <c r="C137" s="15" t="inlineStr">
        <is>
          <t>Pesquisa inicial</t>
        </is>
      </c>
      <c r="D137" s="15" t="inlineStr">
        <is>
          <t>https://www.prnewswire.com/br/comunicados-para-a-imprensa/caixa-lucro-liquido-recorrente-de-r-15-5-bilhoes-em-2025--crescimento-de-10-4-em-relacao-a-2024--302704800.html</t>
        </is>
      </c>
    </row>
    <row r="138">
      <c r="A138" s="15" t="inlineStr">
        <is>
          <t>F38</t>
        </is>
      </c>
      <c r="B138" s="15" t="inlineStr">
        <is>
          <t>Flávio</t>
        </is>
      </c>
      <c r="C138" s="15" t="inlineStr">
        <is>
          <t>Revisor</t>
        </is>
      </c>
      <c r="D138" s="15" t="inlineStr">
        <is>
          <t>https://portaldeprefeitura.com.br/bastidores-da-politica/governo-lula-recursos-escola-integral-pagar-pe-de-meia/598700/</t>
        </is>
      </c>
    </row>
    <row r="139">
      <c r="A139" s="15" t="inlineStr">
        <is>
          <t>F39</t>
        </is>
      </c>
      <c r="B139" s="15" t="inlineStr">
        <is>
          <t>Flávio</t>
        </is>
      </c>
      <c r="C139" s="15" t="inlineStr">
        <is>
          <t>Revisor</t>
        </is>
      </c>
      <c r="D139" s="15" t="inlineStr">
        <is>
          <t>https://www.planalto.gov.br/ccivil_03/_Ato2023-2026/2023/Lei/L14790.htm</t>
        </is>
      </c>
    </row>
    <row r="140">
      <c r="A140" s="15" t="inlineStr">
        <is>
          <t>F39</t>
        </is>
      </c>
      <c r="B140" s="15" t="inlineStr">
        <is>
          <t>Flávio</t>
        </is>
      </c>
      <c r="C140" s="15" t="inlineStr">
        <is>
          <t>Revisor</t>
        </is>
      </c>
      <c r="D140" s="15" t="inlineStr">
        <is>
          <t>https://atarde.com.br/economia/proibicao-das-bets-governo-diz-que-derrubou-10-mil-sites-ilegais-1404304</t>
        </is>
      </c>
    </row>
    <row r="141">
      <c r="A141" s="15" t="inlineStr">
        <is>
          <t>F39</t>
        </is>
      </c>
      <c r="B141" s="15" t="inlineStr">
        <is>
          <t>Flávio</t>
        </is>
      </c>
      <c r="C141" s="15" t="inlineStr">
        <is>
          <t>Pesquisa inicial</t>
        </is>
      </c>
      <c r="D141" s="15" t="inlineStr">
        <is>
          <t>https://forbes.com.br/forbes-money/2026/09/governo-prepara-mp-para-proibir-bets-dizem-fontes/</t>
        </is>
      </c>
    </row>
    <row r="142">
      <c r="A142" s="15" t="inlineStr">
        <is>
          <t>F39</t>
        </is>
      </c>
      <c r="B142" s="15" t="inlineStr">
        <is>
          <t>Flávio</t>
        </is>
      </c>
      <c r="C142" s="15" t="inlineStr">
        <is>
          <t>Pesquisa inicial</t>
        </is>
      </c>
      <c r="D142" s="15" t="inlineStr">
        <is>
          <t>https://sbtnews.sbt.com.br/noticia/politica/guimaraes-confirma-que-lula-prepara-mp-para-endurecer-bets</t>
        </is>
      </c>
    </row>
    <row r="143">
      <c r="A143" s="15" t="inlineStr">
        <is>
          <t>F40</t>
        </is>
      </c>
      <c r="B143" s="15" t="inlineStr">
        <is>
          <t>Flávio</t>
        </is>
      </c>
      <c r="C143" s="15" t="inlineStr">
        <is>
          <t>Revisor</t>
        </is>
      </c>
      <c r="D143" s="15" t="inlineStr">
        <is>
          <t>https://www.poder360.com.br/economia/bolsonaro-oficializa-reajuste-de-33-para-professores/</t>
        </is>
      </c>
    </row>
    <row r="144">
      <c r="A144" s="15" t="inlineStr">
        <is>
          <t>F40</t>
        </is>
      </c>
      <c r="B144" s="15" t="inlineStr">
        <is>
          <t>Flávio</t>
        </is>
      </c>
      <c r="C144" s="15" t="inlineStr">
        <is>
          <t>Revisor</t>
        </is>
      </c>
      <c r="D144" s="15" t="inlineStr">
        <is>
          <t>https://www.opovo.com.br/noticias/economia/2022/06/22/refinanciamento-do-fies-com-ate-99-de-desconto-vira-lei-entenda-quem-tem-direito.html</t>
        </is>
      </c>
    </row>
    <row r="145">
      <c r="A145" s="15" t="inlineStr">
        <is>
          <t>F40</t>
        </is>
      </c>
      <c r="B145" s="15" t="inlineStr">
        <is>
          <t>Flávio</t>
        </is>
      </c>
      <c r="C145" s="15" t="inlineStr">
        <is>
          <t>Pesquisa inicial</t>
        </is>
      </c>
      <c r="D145" s="15" t="inlineStr">
        <is>
          <t>https://www.congressoemfoco.com.br/noticia/11823/senado-vota-renegociacao-de-dividas-do-fies</t>
        </is>
      </c>
    </row>
    <row r="146">
      <c r="A146" s="15" t="inlineStr">
        <is>
          <t>F40</t>
        </is>
      </c>
      <c r="B146" s="15" t="inlineStr">
        <is>
          <t>Flávio</t>
        </is>
      </c>
      <c r="C146" s="15" t="inlineStr">
        <is>
          <t>Pesquisa inicial</t>
        </is>
      </c>
      <c r="D146" s="15" t="inlineStr">
        <is>
          <t>https://www.poder360.com.br/governo/bolsonaro-anuncia-reajuste-de-33-para-piso-de-professores/</t>
        </is>
      </c>
    </row>
    <row r="147">
      <c r="A147" s="15" t="inlineStr">
        <is>
          <t>F41</t>
        </is>
      </c>
      <c r="B147" s="15" t="inlineStr">
        <is>
          <t>Flávio</t>
        </is>
      </c>
      <c r="C147" s="15" t="inlineStr">
        <is>
          <t>Revisor</t>
        </is>
      </c>
      <c r="D147" s="15" t="inlineStr">
        <is>
          <t>https://jornaldebrasilia.com.br/noticias/brasil/brasil-tem-826-mil-criancas-na-fila-de-espera-por-vaga-em-creche-mostra-levantamento/</t>
        </is>
      </c>
    </row>
    <row r="148">
      <c r="A148" s="15" t="inlineStr">
        <is>
          <t>F41</t>
        </is>
      </c>
      <c r="B148" s="15" t="inlineStr">
        <is>
          <t>Flávio</t>
        </is>
      </c>
      <c r="C148" s="15" t="inlineStr">
        <is>
          <t>Revisor</t>
        </is>
      </c>
      <c r="D148" s="15" t="inlineStr">
        <is>
          <t>https://jornaldebrasilia.com.br/noticias/brasil/mais-de-2-milhoes-de-criancas-no-pais-estao-sem-vagas-em-creches/</t>
        </is>
      </c>
    </row>
    <row r="149">
      <c r="A149" s="15" t="inlineStr">
        <is>
          <t>F41</t>
        </is>
      </c>
      <c r="B149" s="15" t="inlineStr">
        <is>
          <t>Flávio</t>
        </is>
      </c>
      <c r="C149" s="15" t="inlineStr">
        <is>
          <t>Pesquisa inicial</t>
        </is>
      </c>
      <c r="D149" s="15" t="inlineStr">
        <is>
          <t>https://www.jornaldocomercio.com/geral/2024/08/1168929-brasil-tem-632-mil-criancas-na-fila-por-creche-mostra-levantamento.html</t>
        </is>
      </c>
    </row>
    <row r="150">
      <c r="A150" s="15" t="inlineStr">
        <is>
          <t>F42</t>
        </is>
      </c>
      <c r="B150" s="15" t="inlineStr">
        <is>
          <t>Flávio</t>
        </is>
      </c>
      <c r="C150" s="15" t="inlineStr">
        <is>
          <t>Revisor</t>
        </is>
      </c>
      <c r="D150" s="15" t="inlineStr">
        <is>
          <t>https://www.correiodamanha.com.br/nacional/2026/09/317589-pisa-brasil-reduz-diferenca-para-paises-ricos-em-notas-escolares.html</t>
        </is>
      </c>
    </row>
    <row r="151">
      <c r="A151" s="15" t="inlineStr">
        <is>
          <t>F42</t>
        </is>
      </c>
      <c r="B151" s="15" t="inlineStr">
        <is>
          <t>Flávio</t>
        </is>
      </c>
      <c r="C151" s="15" t="inlineStr">
        <is>
          <t>Revisor</t>
        </is>
      </c>
      <c r="D151" s="15" t="inlineStr">
        <is>
          <t>https://static.poder360.com.br/uploads/2026/09/Resultados_Pisa_2025_Final.pdf</t>
        </is>
      </c>
    </row>
    <row r="152">
      <c r="A152" s="15" t="inlineStr">
        <is>
          <t>F42</t>
        </is>
      </c>
      <c r="B152" s="15" t="inlineStr">
        <is>
          <t>Flávio</t>
        </is>
      </c>
      <c r="C152" s="15" t="inlineStr">
        <is>
          <t>Revisor</t>
        </is>
      </c>
      <c r="D152" s="15" t="inlineStr">
        <is>
          <t>https://agenciagov.ebc.com.br/noticias/202312/divulgados-os-resultados-do-pisa-2022</t>
        </is>
      </c>
    </row>
    <row r="153">
      <c r="A153" s="15" t="inlineStr">
        <is>
          <t>F42</t>
        </is>
      </c>
      <c r="B153" s="15" t="inlineStr">
        <is>
          <t>Flávio</t>
        </is>
      </c>
      <c r="C153" s="15" t="inlineStr">
        <is>
          <t>Pesquisa inicial</t>
        </is>
      </c>
      <c r="D153" s="15" t="inlineStr">
        <is>
          <t>https://www.oecd.org/pt/publications/resultdos-do-pisa-2025-volume-i_afb355f4-pt/brasil_c7e013c5-pt</t>
        </is>
      </c>
    </row>
    <row r="154">
      <c r="A154" s="15" t="inlineStr">
        <is>
          <t>F43</t>
        </is>
      </c>
      <c r="B154" s="15" t="inlineStr">
        <is>
          <t>Flávio</t>
        </is>
      </c>
      <c r="C154" s="15" t="inlineStr">
        <is>
          <t>Revisor</t>
        </is>
      </c>
      <c r="D154" s="15" t="inlineStr">
        <is>
          <t>https://www.congressoemfoco.com.br/area/congresso-nacional/em-derrota-para-lula-congresso-derruba-veto-em-lei-do-fim-das-saidinhas/</t>
        </is>
      </c>
    </row>
    <row r="155">
      <c r="A155" s="15" t="inlineStr">
        <is>
          <t>F43</t>
        </is>
      </c>
      <c r="B155" s="15" t="inlineStr">
        <is>
          <t>Flávio</t>
        </is>
      </c>
      <c r="C155" s="15" t="inlineStr">
        <is>
          <t>Revisor</t>
        </is>
      </c>
      <c r="D155" s="15" t="inlineStr">
        <is>
          <t>https://www.poder360.com.br/poder-eleicoes/oposicao-reage-a-fala-de-lula-sobre-decisao-dos-eua-contra-pcc-e-cv/</t>
        </is>
      </c>
    </row>
    <row r="156">
      <c r="A156" s="15" t="inlineStr">
        <is>
          <t>F43</t>
        </is>
      </c>
      <c r="B156" s="15" t="inlineStr">
        <is>
          <t>Flávio</t>
        </is>
      </c>
      <c r="C156" s="15" t="inlineStr">
        <is>
          <t>Revisor</t>
        </is>
      </c>
      <c r="D156" s="15" t="inlineStr">
        <is>
          <t>https://sbtnews.sbt.com.br/noticia/politica/governo-diz-que-pcc-e-cv-praticam-terrorismo-ao-criticar-eua</t>
        </is>
      </c>
    </row>
    <row r="157">
      <c r="A157" s="15" t="inlineStr">
        <is>
          <t>F43</t>
        </is>
      </c>
      <c r="B157" s="15" t="inlineStr">
        <is>
          <t>Flávio</t>
        </is>
      </c>
      <c r="C157" s="15" t="inlineStr">
        <is>
          <t>Pesquisa inicial</t>
        </is>
      </c>
      <c r="D157" s="15" t="inlineStr">
        <is>
          <t>https://www.agazeta.com.br/brasil/congresso-derrota-lula-derruba-veto-e-volta-a-proibir-saidinha-de-presos-0524</t>
        </is>
      </c>
    </row>
    <row r="158">
      <c r="A158" s="15" t="inlineStr">
        <is>
          <t>F43</t>
        </is>
      </c>
      <c r="B158" s="15" t="inlineStr">
        <is>
          <t>Flávio</t>
        </is>
      </c>
      <c r="C158" s="15" t="inlineStr">
        <is>
          <t>Pesquisa inicial</t>
        </is>
      </c>
      <c r="D158" s="15" t="inlineStr">
        <is>
          <t>https://www.poder360.com.br/poder-congresso/oposicao-reage-a-fala-de-lula-sobre-decisao-dos-eua-contra-pcc-e-cv/</t>
        </is>
      </c>
    </row>
    <row r="159">
      <c r="A159" s="15" t="inlineStr">
        <is>
          <t>F43</t>
        </is>
      </c>
      <c r="B159" s="15" t="inlineStr">
        <is>
          <t>Flávio</t>
        </is>
      </c>
      <c r="C159" s="15" t="inlineStr">
        <is>
          <t>Pesquisa inicial</t>
        </is>
      </c>
      <c r="D159" s="15" t="inlineStr">
        <is>
          <t>https://www.infomoney.com.br/?p=3352915</t>
        </is>
      </c>
    </row>
    <row r="160">
      <c r="A160" s="15" t="inlineStr">
        <is>
          <t>F44</t>
        </is>
      </c>
      <c r="B160" s="15" t="inlineStr">
        <is>
          <t>Flávio</t>
        </is>
      </c>
      <c r="C160" s="15" t="inlineStr">
        <is>
          <t>Revisor</t>
        </is>
      </c>
      <c r="D160" s="15" t="inlineStr">
        <is>
          <t>https://dadosabertos.camara.leg.br/api/v2/proposicoes/2579832</t>
        </is>
      </c>
    </row>
    <row r="161">
      <c r="A161" s="15" t="inlineStr">
        <is>
          <t>F44</t>
        </is>
      </c>
      <c r="B161" s="15" t="inlineStr">
        <is>
          <t>Flávio</t>
        </is>
      </c>
      <c r="C161" s="15" t="inlineStr">
        <is>
          <t>Revisor</t>
        </is>
      </c>
      <c r="D161" s="15" t="inlineStr">
        <is>
          <t>https://dadosabertos.camara.leg.br/api/v2/proposicoes/2579832/tramitacoes</t>
        </is>
      </c>
    </row>
    <row r="162">
      <c r="A162" s="15" t="inlineStr">
        <is>
          <t>F44</t>
        </is>
      </c>
      <c r="B162" s="15" t="inlineStr">
        <is>
          <t>Flávio</t>
        </is>
      </c>
      <c r="C162" s="15" t="inlineStr">
        <is>
          <t>Revisor</t>
        </is>
      </c>
      <c r="D162" s="15" t="inlineStr">
        <is>
          <t>https://www.camara.leg.br/proposicoesWeb/prop_mostrarintegra?codteor=3091571</t>
        </is>
      </c>
    </row>
    <row r="163">
      <c r="A163" s="15" t="inlineStr">
        <is>
          <t>F45</t>
        </is>
      </c>
      <c r="B163" s="15" t="inlineStr">
        <is>
          <t>Flávio</t>
        </is>
      </c>
      <c r="C163" s="15" t="inlineStr">
        <is>
          <t>Revisor</t>
        </is>
      </c>
      <c r="D163" s="15" t="inlineStr">
        <is>
          <t>https://www.cnj.jus.br/presidente-do-cnj-recebe-premio-direitos-humanos-por-audiencia-de-custodia/</t>
        </is>
      </c>
    </row>
    <row r="164">
      <c r="A164" s="15" t="inlineStr">
        <is>
          <t>F45</t>
        </is>
      </c>
      <c r="B164" s="15" t="inlineStr">
        <is>
          <t>Flávio</t>
        </is>
      </c>
      <c r="C164" s="15" t="inlineStr">
        <is>
          <t>Revisor</t>
        </is>
      </c>
      <c r="D164" s="15" t="inlineStr">
        <is>
          <t>https://www.cnj.jus.br/presidente-do-cnj-anuncia-nova-fase-das-audiencias-de-custodia/</t>
        </is>
      </c>
    </row>
    <row r="165">
      <c r="A165" s="15" t="inlineStr">
        <is>
          <t>F45</t>
        </is>
      </c>
      <c r="B165" s="15" t="inlineStr">
        <is>
          <t>Flávio</t>
        </is>
      </c>
      <c r="C165" s="15" t="inlineStr">
        <is>
          <t>Pesquisa inicial</t>
        </is>
      </c>
      <c r="D165" s="15" t="inlineStr">
        <is>
          <t>https://www.conjur.com.br/?p=464328</t>
        </is>
      </c>
    </row>
    <row r="166">
      <c r="A166" s="15" t="inlineStr">
        <is>
          <t>F46</t>
        </is>
      </c>
      <c r="B166" s="15" t="inlineStr">
        <is>
          <t>Flávio</t>
        </is>
      </c>
      <c r="C166" s="15" t="inlineStr">
        <is>
          <t>Revisor</t>
        </is>
      </c>
      <c r="D166" s="15" t="inlineStr">
        <is>
          <t>https://www.poder360.com.br/justica/tse-suspende-propaganda-de-bolsonaro-que-associa-lula-a-ladroes/</t>
        </is>
      </c>
    </row>
    <row r="167">
      <c r="A167" s="15" t="inlineStr">
        <is>
          <t>F47</t>
        </is>
      </c>
      <c r="B167" s="15" t="inlineStr">
        <is>
          <t>Flávio</t>
        </is>
      </c>
      <c r="C167" s="15" t="inlineStr">
        <is>
          <t>Revisor</t>
        </is>
      </c>
      <c r="D167" s="15" t="inlineStr">
        <is>
          <t>https://www.metropoles.com/brasil/richarlison-x-willer-tomaz-lula-pede-que-pf-investigue-disputa-por-ilha</t>
        </is>
      </c>
    </row>
    <row r="168">
      <c r="A168" s="15" t="inlineStr">
        <is>
          <t>F47</t>
        </is>
      </c>
      <c r="B168" s="15" t="inlineStr">
        <is>
          <t>Flávio</t>
        </is>
      </c>
      <c r="C168" s="15" t="inlineStr">
        <is>
          <t>Revisor</t>
        </is>
      </c>
      <c r="D168" s="15" t="inlineStr">
        <is>
          <t>https://www.cnnbrasil.com.br/blogs/jussara-soares/politica/pf-incluira-caso-da-ilha-de-richarlison-em-inquerito-sobre-flavio-e-willer/</t>
        </is>
      </c>
    </row>
    <row r="169">
      <c r="A169" s="15" t="inlineStr">
        <is>
          <t>F47</t>
        </is>
      </c>
      <c r="B169" s="15" t="inlineStr">
        <is>
          <t>Flávio</t>
        </is>
      </c>
      <c r="C169" s="15" t="inlineStr">
        <is>
          <t>Revisor</t>
        </is>
      </c>
      <c r="D169" s="15" t="inlineStr">
        <is>
          <t>https://www.cnnbrasil.com.br/eleicoes/richarlison-rebate-advogado-amigo-de-flavio-bolsonaro-em-disputa-por-ilha/</t>
        </is>
      </c>
    </row>
    <row r="170">
      <c r="A170" s="15" t="inlineStr">
        <is>
          <t>F47</t>
        </is>
      </c>
      <c r="B170" s="15" t="inlineStr">
        <is>
          <t>Flávio</t>
        </is>
      </c>
      <c r="C170" s="15" t="inlineStr">
        <is>
          <t>Pesquisa inicial</t>
        </is>
      </c>
      <c r="D170" s="15" t="inlineStr">
        <is>
          <t>https://www.opovo.com.br/noticias/politica/2022/11/26/richarlison-destaque-na-copa-trava-disputa-judicial-contra-amigo-de-flavio-bolsonaro-entenda.html</t>
        </is>
      </c>
    </row>
    <row r="171">
      <c r="A171" s="15" t="inlineStr">
        <is>
          <t>F47</t>
        </is>
      </c>
      <c r="B171" s="15" t="inlineStr">
        <is>
          <t>Flávio</t>
        </is>
      </c>
      <c r="C171" s="15" t="inlineStr">
        <is>
          <t>Pesquisa inicial</t>
        </is>
      </c>
      <c r="D171" s="15" t="inlineStr">
        <is>
          <t>https://www.itatiaia.com.br/esportes/famosos-do-esporte/richarlison-e-advogado-de-brasilia-brigam-na-justica-por-mansao-no-rj-entenda/</t>
        </is>
      </c>
    </row>
    <row r="172">
      <c r="A172" s="15" t="inlineStr">
        <is>
          <t>F47</t>
        </is>
      </c>
      <c r="B172" s="15" t="inlineStr">
        <is>
          <t>Flávio</t>
        </is>
      </c>
      <c r="C172" s="15" t="inlineStr">
        <is>
          <t>Pesquisa inicial</t>
        </is>
      </c>
      <c r="D172" s="15" t="inlineStr">
        <is>
          <t>https://www.correiodamanha.com.br/politica/2026/10/327944-richarlison-acusa-flavio-bolsonaro-de-tomar-ilha-em-angra-na-mao-grande-advogado-rebate-com-documentos-e-desafia-jogador.html</t>
        </is>
      </c>
    </row>
    <row r="173">
      <c r="A173" s="15" t="inlineStr">
        <is>
          <t>F47</t>
        </is>
      </c>
      <c r="B173" s="15" t="inlineStr">
        <is>
          <t>Flávio</t>
        </is>
      </c>
      <c r="C173" s="15" t="inlineStr">
        <is>
          <t>Pesquisa inicial</t>
        </is>
      </c>
      <c r="D173" s="15" t="inlineStr">
        <is>
          <t>https://www.diariodepernambuco.com.br/brasil/2026/10/11726909-richarlison-acusa-flavio-bolsonaro-de-tomar-ilha-em-angra-dos-reis-e-pede-investigacao-da-pf.html</t>
        </is>
      </c>
    </row>
    <row r="174">
      <c r="A174" s="15" t="inlineStr">
        <is>
          <t>F48</t>
        </is>
      </c>
      <c r="B174" s="15" t="inlineStr">
        <is>
          <t>Flávio</t>
        </is>
      </c>
      <c r="C174" s="15" t="inlineStr">
        <is>
          <t>Revisor</t>
        </is>
      </c>
      <c r="D174" s="15" t="inlineStr">
        <is>
          <t>https://sbtnews.sbt.com.br/noticia/politica/flavio-pede-para-investigar-se-lula-beneficiou-master</t>
        </is>
      </c>
    </row>
    <row r="175">
      <c r="A175" s="15" t="inlineStr">
        <is>
          <t>F48</t>
        </is>
      </c>
      <c r="B175" s="15" t="inlineStr">
        <is>
          <t>Flávio</t>
        </is>
      </c>
      <c r="C175" s="15" t="inlineStr">
        <is>
          <t>Revisor</t>
        </is>
      </c>
      <c r="D175" s="15" t="inlineStr">
        <is>
          <t>https://www.diariodepernambuco.com.br/politica/2026/09/11725095-lula-diz-nao-lembrar-se-ganhou-uisque-de-vorcaro-se-deu-ja-bebi.html</t>
        </is>
      </c>
    </row>
    <row r="176">
      <c r="A176" s="15" t="inlineStr">
        <is>
          <t>F48</t>
        </is>
      </c>
      <c r="B176" s="15" t="inlineStr">
        <is>
          <t>Flávio</t>
        </is>
      </c>
      <c r="C176" s="15" t="inlineStr">
        <is>
          <t>Pesquisa inicial</t>
        </is>
      </c>
      <c r="D176" s="15" t="inlineStr">
        <is>
          <t>https://www.correiodamanha.com.br/politica/2026/09/322533-lula-diz-nao-lembrar-de-uisque-ligado-a-vorcaro-se-deu-ja-bebi.html</t>
        </is>
      </c>
    </row>
    <row r="177">
      <c r="A177" s="15" t="inlineStr">
        <is>
          <t>F48</t>
        </is>
      </c>
      <c r="B177" s="15" t="inlineStr">
        <is>
          <t>Flávio</t>
        </is>
      </c>
      <c r="C177" s="15" t="inlineStr">
        <is>
          <t>Pesquisa inicial</t>
        </is>
      </c>
      <c r="D177" s="15" t="inlineStr">
        <is>
          <t>https://www.diariodepernambuco.com.br/politica/2026/09/11724726-defesa-de-flavio-pede-a-mendonca-abertura-de-inquerito-por-uisque-de-vorcaro-para-lula.html</t>
        </is>
      </c>
    </row>
    <row r="178">
      <c r="A178" s="15" t="inlineStr">
        <is>
          <t>F49</t>
        </is>
      </c>
      <c r="B178" s="15" t="inlineStr">
        <is>
          <t>Flávio</t>
        </is>
      </c>
      <c r="C178" s="15" t="inlineStr">
        <is>
          <t>Revisor</t>
        </is>
      </c>
      <c r="D178" s="15" t="inlineStr">
        <is>
          <t>https://www.folhape.com.br/politica/pf-pede-mais-90-dias-para-investigar-dark-horse/518933/</t>
        </is>
      </c>
    </row>
    <row r="179">
      <c r="A179" s="15" t="inlineStr">
        <is>
          <t>F49</t>
        </is>
      </c>
      <c r="B179" s="15" t="inlineStr">
        <is>
          <t>Flávio</t>
        </is>
      </c>
      <c r="C179" s="15" t="inlineStr">
        <is>
          <t>Revisor</t>
        </is>
      </c>
      <c r="D179" s="15" t="inlineStr">
        <is>
          <t>https://www.folhape.com.br/politica/pf-diz-que-flavio-foi-interlocutor-direto-de-vorcaro-no/511983/</t>
        </is>
      </c>
    </row>
    <row r="180">
      <c r="A180" s="15" t="inlineStr">
        <is>
          <t>F49</t>
        </is>
      </c>
      <c r="B180" s="15" t="inlineStr">
        <is>
          <t>Flávio</t>
        </is>
      </c>
      <c r="C180" s="15" t="inlineStr">
        <is>
          <t>Pesquisa inicial</t>
        </is>
      </c>
      <c r="D180" s="15" t="inlineStr">
        <is>
          <t>https://mais.opovo.com.br/jornal/dom/2026/09/13/pf-aponta-cobrancas-de-flavio-a-vorcaro-e-detalha-relacao-sobre-dark-horse.html</t>
        </is>
      </c>
    </row>
    <row r="181">
      <c r="A181" s="15" t="inlineStr">
        <is>
          <t>F49</t>
        </is>
      </c>
      <c r="B181" s="15" t="inlineStr">
        <is>
          <t>Flávio</t>
        </is>
      </c>
      <c r="C181" s="15" t="inlineStr">
        <is>
          <t>Pesquisa inicial</t>
        </is>
      </c>
      <c r="D181" s="15" t="inlineStr">
        <is>
          <t>https://www.jb.com.br/brasil/politica/2026/05/1059614-deputados-pedem-investigacao-sobre-relacao-entre-vorcaro-e-flavio.html</t>
        </is>
      </c>
    </row>
    <row r="182">
      <c r="A182" s="15" t="inlineStr">
        <is>
          <t>F50</t>
        </is>
      </c>
      <c r="B182" s="15" t="inlineStr">
        <is>
          <t>Flávio</t>
        </is>
      </c>
      <c r="C182" s="15" t="inlineStr">
        <is>
          <t>Revisor</t>
        </is>
      </c>
      <c r="D182" s="15" t="inlineStr">
        <is>
          <t>https://www.correiodamanha.com.br/politica/2026/10/326097-pf-e-pgr-negam-audios-de-vorcaro-sobre-filme-de-lula.html</t>
        </is>
      </c>
    </row>
    <row r="183">
      <c r="A183" s="15" t="inlineStr">
        <is>
          <t>F50</t>
        </is>
      </c>
      <c r="B183" s="15" t="inlineStr">
        <is>
          <t>Flávio</t>
        </is>
      </c>
      <c r="C183" s="15" t="inlineStr">
        <is>
          <t>Revisor</t>
        </is>
      </c>
      <c r="D183" s="15" t="inlineStr">
        <is>
          <t>https://sbtnews.sbt.com.br/noticia/politica/em-audio-vorcaro-diz-ter-financiado-filme-sobre-lula</t>
        </is>
      </c>
    </row>
    <row r="184">
      <c r="A184" s="15" t="inlineStr">
        <is>
          <t>F50</t>
        </is>
      </c>
      <c r="B184" s="15" t="inlineStr">
        <is>
          <t>Flávio</t>
        </is>
      </c>
      <c r="C184" s="15" t="inlineStr">
        <is>
          <t>Revisor</t>
        </is>
      </c>
      <c r="D184" s="15" t="inlineStr">
        <is>
          <t>https://www.poder360.com.br/poder-eleicoes-2026/alckmin-diz-que-nao-ha-prova-sobre-vorcaro-e-filme-de-lula/</t>
        </is>
      </c>
    </row>
    <row r="185">
      <c r="A185" s="15" t="inlineStr">
        <is>
          <t>F50</t>
        </is>
      </c>
      <c r="B185" s="15" t="inlineStr">
        <is>
          <t>Flávio</t>
        </is>
      </c>
      <c r="C185" s="15" t="inlineStr">
        <is>
          <t>Pesquisa inicial</t>
        </is>
      </c>
      <c r="D185" s="15" t="inlineStr">
        <is>
          <t>https://mais.opovo.com.br/jornal/politica/2026/10/10/audio-de-vorcaro-fala-de-dinheiro-em-filme-de-lula-pf-e-pgr-negam-que-esteja-em-delacao.html</t>
        </is>
      </c>
    </row>
    <row r="186">
      <c r="A186" s="15" t="inlineStr">
        <is>
          <t>F51</t>
        </is>
      </c>
      <c r="B186" s="15" t="inlineStr">
        <is>
          <t>Flávio</t>
        </is>
      </c>
      <c r="C186" s="15" t="inlineStr">
        <is>
          <t>Revisor</t>
        </is>
      </c>
      <c r="D186" s="15" t="inlineStr">
        <is>
          <t>https://timesbrasil.com.br/brasil/caso-master-vorcaro-buscou-apoio-de-interlocutores-de-alexandre-padilha-ministro-de-lula-para-captar-ate-r-10-bilhoes-de-fundos-de-pensao/</t>
        </is>
      </c>
    </row>
    <row r="187">
      <c r="A187" s="15" t="inlineStr">
        <is>
          <t>F51</t>
        </is>
      </c>
      <c r="B187" s="15" t="inlineStr">
        <is>
          <t>Flávio</t>
        </is>
      </c>
      <c r="C187" s="15" t="inlineStr">
        <is>
          <t>Revisor</t>
        </is>
      </c>
      <c r="D187" s="15" t="inlineStr">
        <is>
          <t>https://www.congressoemfoco.com.br/noticia/123151/padilha-acusa-veja-de-tentar-confundir-a-sociedade-em-reportagem</t>
        </is>
      </c>
    </row>
    <row r="188">
      <c r="A188" s="15" t="inlineStr">
        <is>
          <t>F51</t>
        </is>
      </c>
      <c r="B188" s="15" t="inlineStr">
        <is>
          <t>Flávio</t>
        </is>
      </c>
      <c r="C188" s="15" t="inlineStr">
        <is>
          <t>Pesquisa inicial</t>
        </is>
      </c>
      <c r="D188" s="15" t="inlineStr">
        <is>
          <t>https://www.jornalopcao.com.br/ultimas-noticias/registros-do-planalto-confirmam-reunioes-de-daniel-vorcaro-com-lobista-ligado-a-grupo-de-padilha-878516/</t>
        </is>
      </c>
    </row>
    <row r="189">
      <c r="A189" s="15" t="inlineStr">
        <is>
          <t>F51</t>
        </is>
      </c>
      <c r="B189" s="15" t="inlineStr">
        <is>
          <t>Flávio</t>
        </is>
      </c>
      <c r="C189" s="15" t="inlineStr">
        <is>
          <t>Pesquisa inicial</t>
        </is>
      </c>
      <c r="D189" s="15" t="inlineStr">
        <is>
          <t>https://www.maisgoias.com.br/politica/petista-goiano-olavo-noleto-e-citado-em-articulacoes-do-banco-master-com-governo-lula-revela-veja/</t>
        </is>
      </c>
    </row>
    <row r="190">
      <c r="A190" s="15" t="inlineStr">
        <is>
          <t>F52</t>
        </is>
      </c>
      <c r="B190" s="15" t="inlineStr">
        <is>
          <t>Flávio</t>
        </is>
      </c>
      <c r="C190" s="15" t="inlineStr">
        <is>
          <t>Revisor</t>
        </is>
      </c>
      <c r="D190" s="15" t="inlineStr">
        <is>
          <t>https://jornaldebrasilia.com.br/noticias/politica-e-poder/careca-do-inss-orientou-entrega-de-encomenda-em-imovel-alugado-por-lulinha/</t>
        </is>
      </c>
    </row>
    <row r="191">
      <c r="A191" s="15" t="inlineStr">
        <is>
          <t>F53</t>
        </is>
      </c>
      <c r="B191" s="15" t="inlineStr">
        <is>
          <t>Flávio</t>
        </is>
      </c>
      <c r="C191" s="15" t="inlineStr">
        <is>
          <t>Revisor</t>
        </is>
      </c>
      <c r="D191" s="15" t="inlineStr">
        <is>
          <t>https://www.cnnbrasil.com.br/politica/veja-os-processos-envolvendo-o-ex-presidente-lula/</t>
        </is>
      </c>
    </row>
    <row r="192">
      <c r="A192" s="15" t="inlineStr">
        <is>
          <t>F53</t>
        </is>
      </c>
      <c r="B192" s="15" t="inlineStr">
        <is>
          <t>Flávio</t>
        </is>
      </c>
      <c r="C192" s="15" t="inlineStr">
        <is>
          <t>Revisor</t>
        </is>
      </c>
      <c r="D192" s="15" t="inlineStr">
        <is>
          <t>https://congressoemfoco.com.br/justica/lula-fachin-lava-jato</t>
        </is>
      </c>
    </row>
    <row r="193">
      <c r="A193" s="15" t="inlineStr">
        <is>
          <t>F53</t>
        </is>
      </c>
      <c r="B193" s="15" t="inlineStr">
        <is>
          <t>Flávio</t>
        </is>
      </c>
      <c r="C193" s="15" t="inlineStr">
        <is>
          <t>Revisor</t>
        </is>
      </c>
      <c r="D193" s="15" t="inlineStr">
        <is>
          <t>https://www.metropoles.com/brasil/justica/triplex-atibaia-e-instituto-lula-relembre-casos-de-lula-na-lava-jato</t>
        </is>
      </c>
    </row>
    <row r="194">
      <c r="A194" s="15" t="inlineStr">
        <is>
          <t>F54</t>
        </is>
      </c>
      <c r="B194" s="15" t="inlineStr">
        <is>
          <t>Flávio</t>
        </is>
      </c>
      <c r="C194" s="15" t="inlineStr">
        <is>
          <t>Revisor</t>
        </is>
      </c>
      <c r="D194" s="15" t="inlineStr">
        <is>
          <t>https://www.opovo.com.br/noticias/politica/2025/01/06/lula-mantem-sigilo-de-100-anos-em-nivel-semelhante-ao-de-bolsonaro.html</t>
        </is>
      </c>
    </row>
    <row r="195">
      <c r="A195" s="15" t="inlineStr">
        <is>
          <t>F54</t>
        </is>
      </c>
      <c r="B195" s="15" t="inlineStr">
        <is>
          <t>Flávio</t>
        </is>
      </c>
      <c r="C195" s="15" t="inlineStr">
        <is>
          <t>Revisor</t>
        </is>
      </c>
      <c r="D195" s="15" t="inlineStr">
        <is>
          <t>https://observador.pt/2023/06/03/lula-indica-cristiano-zanin-advogado-que-o-defendeu-na-lava-jato-para-cargo-no-supremo-tribunal-federal/</t>
        </is>
      </c>
    </row>
    <row r="196">
      <c r="A196" s="15" t="inlineStr">
        <is>
          <t>F54</t>
        </is>
      </c>
      <c r="B196" s="15" t="inlineStr">
        <is>
          <t>Flávio</t>
        </is>
      </c>
      <c r="C196" s="15" t="inlineStr">
        <is>
          <t>Revisor</t>
        </is>
      </c>
      <c r="D196" s="15" t="inlineStr">
        <is>
          <t>https://www.otempo.com.br/politica/governo/lula-exonera-dino-do-ministerio-da-justica-e-o-nomeia-para-o-stf-1.3322550</t>
        </is>
      </c>
    </row>
    <row r="197">
      <c r="A197" s="15" t="inlineStr">
        <is>
          <t>F54</t>
        </is>
      </c>
      <c r="B197" s="15" t="inlineStr">
        <is>
          <t>Flávio</t>
        </is>
      </c>
      <c r="C197" s="15" t="inlineStr">
        <is>
          <t>Revisor</t>
        </is>
      </c>
      <c r="D197" s="15" t="inlineStr">
        <is>
          <t>https://agenciabrasil.ebc.com.br/politica/noticia/2026-04/senado-rejeita-indicacao-de-messias-para-stf</t>
        </is>
      </c>
    </row>
    <row r="198">
      <c r="A198" s="15" t="inlineStr">
        <is>
          <t>F54</t>
        </is>
      </c>
      <c r="B198" s="15" t="inlineStr">
        <is>
          <t>Flávio</t>
        </is>
      </c>
      <c r="C198" s="15" t="inlineStr">
        <is>
          <t>Pesquisa inicial</t>
        </is>
      </c>
      <c r="D198" s="15" t="inlineStr">
        <is>
          <t>https://www12.senado.leg.br/noticias/materias/2026/04/29/indicacao-de-jorge-messias-ao-stf-e-rejeitada-pelo-senado</t>
        </is>
      </c>
    </row>
    <row r="199">
      <c r="A199" s="15" t="inlineStr">
        <is>
          <t>F55</t>
        </is>
      </c>
      <c r="B199" s="15" t="inlineStr">
        <is>
          <t>Flávio</t>
        </is>
      </c>
      <c r="C199" s="15" t="inlineStr">
        <is>
          <t>Revisor</t>
        </is>
      </c>
      <c r="D199" s="15" t="inlineStr">
        <is>
          <t>https://veja.abril.com.br/politica/exclusivo-presidencia-gastou-mais-de-r-55-milhoes-com-cartao-corporativo-desde-a-posse/</t>
        </is>
      </c>
    </row>
    <row r="200">
      <c r="A200" s="15" t="inlineStr">
        <is>
          <t>F56</t>
        </is>
      </c>
      <c r="B200" s="15" t="inlineStr">
        <is>
          <t>Flávio</t>
        </is>
      </c>
      <c r="C200" s="15" t="inlineStr">
        <is>
          <t>Revisor</t>
        </is>
      </c>
      <c r="D200" s="15" t="inlineStr">
        <is>
          <t>https://oglobo.globo.com/politica/noticia/2026/03/20/ex-assessora-de-flavio-bolsonaro-e-denunciada-por-suspeita-de-lavar-dinheiro-do-filho-lider-do-escritorio-do-crime.ghtml</t>
        </is>
      </c>
    </row>
    <row r="201">
      <c r="A201" s="15" t="inlineStr">
        <is>
          <t>F56</t>
        </is>
      </c>
      <c r="B201" s="15" t="inlineStr">
        <is>
          <t>Flávio</t>
        </is>
      </c>
      <c r="C201" s="15" t="inlineStr">
        <is>
          <t>Revisor</t>
        </is>
      </c>
      <c r="D201" s="15" t="inlineStr">
        <is>
          <t>https://noticias.uol.com.br/politica/ultimas-noticias/2022/04/09/fantasma-e-r-776-mil-em-salario-a-relacao-da-ex-de-adriano-e-os-bolsonaro.htm</t>
        </is>
      </c>
    </row>
    <row r="202">
      <c r="A202" s="15" t="inlineStr">
        <is>
          <t>F56</t>
        </is>
      </c>
      <c r="B202" s="15" t="inlineStr">
        <is>
          <t>Flávio</t>
        </is>
      </c>
      <c r="C202" s="15" t="inlineStr">
        <is>
          <t>Revisor</t>
        </is>
      </c>
      <c r="D202" s="15" t="inlineStr">
        <is>
          <t>https://www.estadao.com.br/politica/blog-do-fausto-macedo/quinta-turma-do-stj-anula-todas-as-decisoes-de-primeira-instancia-no-inquerito-das-rachadinhas-que-atinge-flavio-bolsonaro/</t>
        </is>
      </c>
    </row>
    <row r="203">
      <c r="A203" s="15" t="inlineStr">
        <is>
          <t>F56</t>
        </is>
      </c>
      <c r="B203" s="15" t="inlineStr">
        <is>
          <t>Flávio</t>
        </is>
      </c>
      <c r="C203" s="15" t="inlineStr">
        <is>
          <t>Revisor</t>
        </is>
      </c>
      <c r="D203" s="15" t="inlineStr">
        <is>
          <t>https://www.conjur.com.br/2022-mai-16/tj-rj-arquiva-denuncia-flavio-bolsonaro-rachadinha</t>
        </is>
      </c>
    </row>
    <row r="204">
      <c r="A204" s="15" t="inlineStr">
        <is>
          <t>F56</t>
        </is>
      </c>
      <c r="B204" s="15" t="inlineStr">
        <is>
          <t>Flávio</t>
        </is>
      </c>
      <c r="C204" s="15" t="inlineStr">
        <is>
          <t>Revisor</t>
        </is>
      </c>
      <c r="D204" s="15" t="inlineStr">
        <is>
          <t>https://valor.globo.com/politica/noticia/2019/04/16/flavio-bolsonaro-fica-contrariado-com-proposta-de-cpi-das-milicias.ghtml</t>
        </is>
      </c>
    </row>
    <row r="205">
      <c r="A205" s="15" t="inlineStr">
        <is>
          <t>L01</t>
        </is>
      </c>
      <c r="B205" s="15" t="inlineStr">
        <is>
          <t>Lula</t>
        </is>
      </c>
      <c r="C205" s="15" t="inlineStr">
        <is>
          <t>Revisor</t>
        </is>
      </c>
      <c r="D205" s="15" t="inlineStr">
        <is>
          <t>https://www.poder360.com.br/governo/novo-pac-chega-a-r-17-bi-com-verba-do-governo-e-setor-privado/</t>
        </is>
      </c>
    </row>
    <row r="206">
      <c r="A206" s="15" t="inlineStr">
        <is>
          <t>L01</t>
        </is>
      </c>
      <c r="B206" s="15" t="inlineStr">
        <is>
          <t>Lula</t>
        </is>
      </c>
      <c r="C206" s="15" t="inlineStr">
        <is>
          <t>Revisor</t>
        </is>
      </c>
      <c r="D206" s="15" t="inlineStr">
        <is>
          <t>https://www.gov.br/casacivil/pt-br/novopac</t>
        </is>
      </c>
    </row>
    <row r="207">
      <c r="A207" s="15" t="inlineStr">
        <is>
          <t>L01</t>
        </is>
      </c>
      <c r="B207" s="15" t="inlineStr">
        <is>
          <t>Lula</t>
        </is>
      </c>
      <c r="C207" s="15" t="inlineStr">
        <is>
          <t>Revisor</t>
        </is>
      </c>
      <c r="D207" s="15" t="inlineStr">
        <is>
          <t>https://www.gov.br/casacivil/pt-br/novopac/transparencia</t>
        </is>
      </c>
    </row>
    <row r="208">
      <c r="A208" s="15" t="inlineStr">
        <is>
          <t>L01</t>
        </is>
      </c>
      <c r="B208" s="15" t="inlineStr">
        <is>
          <t>Lula</t>
        </is>
      </c>
      <c r="C208" s="15" t="inlineStr">
        <is>
          <t>Pesquisa inicial</t>
        </is>
      </c>
      <c r="D208" s="15" t="inlineStr">
        <is>
          <t>https://sbtnews.sbt.com.br/noticia/economia/256394-novo-pac-preve-r-17-trilhao-em-investimentos-ate-2026</t>
        </is>
      </c>
    </row>
    <row r="209">
      <c r="A209" s="15" t="inlineStr">
        <is>
          <t>L01</t>
        </is>
      </c>
      <c r="B209" s="15" t="inlineStr">
        <is>
          <t>Lula</t>
        </is>
      </c>
      <c r="C209" s="15" t="inlineStr">
        <is>
          <t>Pesquisa inicial</t>
        </is>
      </c>
      <c r="D209" s="15" t="inlineStr">
        <is>
          <t>Casa Civil / gov.br/novopac – balanço de execução até 2024 (R$ 711 bi), noticiado na imprensa</t>
        </is>
      </c>
    </row>
    <row r="210">
      <c r="A210" s="15" t="inlineStr">
        <is>
          <t>L02</t>
        </is>
      </c>
      <c r="B210" s="15" t="inlineStr">
        <is>
          <t>Lula</t>
        </is>
      </c>
      <c r="C210" s="15" t="inlineStr">
        <is>
          <t>Revisor</t>
        </is>
      </c>
      <c r="D210" s="15" t="inlineStr">
        <is>
          <t>https://www.poder360.com.br/governo/novo-pac-chega-a-r-17-bi-com-verba-do-governo-e-setor-privado/</t>
        </is>
      </c>
    </row>
    <row r="211">
      <c r="A211" s="15" t="inlineStr">
        <is>
          <t>L02</t>
        </is>
      </c>
      <c r="B211" s="15" t="inlineStr">
        <is>
          <t>Lula</t>
        </is>
      </c>
      <c r="C211" s="15" t="inlineStr">
        <is>
          <t>Revisor</t>
        </is>
      </c>
      <c r="D211" s="15" t="inlineStr">
        <is>
          <t>https://www.correiobraziliense.com.br/politica/2023/05/5094268-governo-lula-vai-destinar-rs-4-bilhoes-para-obras-paradas-da-educacao.html</t>
        </is>
      </c>
    </row>
    <row r="212">
      <c r="A212" s="15" t="inlineStr">
        <is>
          <t>L02</t>
        </is>
      </c>
      <c r="B212" s="15" t="inlineStr">
        <is>
          <t>Lula</t>
        </is>
      </c>
      <c r="C212" s="15" t="inlineStr">
        <is>
          <t>Revisor</t>
        </is>
      </c>
      <c r="D212" s="15" t="inlineStr">
        <is>
          <t>https://brasil61.com/n/presidente-sanciona-pacto-nacional-pela-retomada-de-obras-inacabadas-pind234330</t>
        </is>
      </c>
    </row>
    <row r="213">
      <c r="A213" s="15" t="inlineStr">
        <is>
          <t>L02</t>
        </is>
      </c>
      <c r="B213" s="15" t="inlineStr">
        <is>
          <t>Lula</t>
        </is>
      </c>
      <c r="C213" s="15" t="inlineStr">
        <is>
          <t>Pesquisa inicial</t>
        </is>
      </c>
      <c r="D213" s="15" t="inlineStr">
        <is>
          <t>https://jornaldaparaiba.com.br/_/168789</t>
        </is>
      </c>
    </row>
    <row r="214">
      <c r="A214" s="15" t="inlineStr">
        <is>
          <t>L03</t>
        </is>
      </c>
      <c r="B214" s="15" t="inlineStr">
        <is>
          <t>Lula</t>
        </is>
      </c>
      <c r="C214" s="15" t="inlineStr">
        <is>
          <t>Revisor</t>
        </is>
      </c>
      <c r="D214" s="15" t="inlineStr">
        <is>
          <t>https://www.cnnbrasil.com.br/infra/demora-em-emprestimos-federais-para-obras-em-sp-azeda-relacao-lula-tarcisio/</t>
        </is>
      </c>
    </row>
    <row r="215">
      <c r="A215" s="15" t="inlineStr">
        <is>
          <t>L03</t>
        </is>
      </c>
      <c r="B215" s="15" t="inlineStr">
        <is>
          <t>Lula</t>
        </is>
      </c>
      <c r="C215" s="15" t="inlineStr">
        <is>
          <t>Revisor</t>
        </is>
      </c>
      <c r="D215" s="15" t="inlineStr">
        <is>
          <t>https://www.poder360.com.br/poder-economia/obra-do-tunel-santos-guaruja-pode-comecar-em-2026-diz-alckmin/</t>
        </is>
      </c>
    </row>
    <row r="216">
      <c r="A216" s="15" t="inlineStr">
        <is>
          <t>L03</t>
        </is>
      </c>
      <c r="B216" s="15" t="inlineStr">
        <is>
          <t>Lula</t>
        </is>
      </c>
      <c r="C216" s="15" t="inlineStr">
        <is>
          <t>Revisor</t>
        </is>
      </c>
      <c r="D216" s="15" t="inlineStr">
        <is>
          <t>https://www.camara.leg.br/noticias/1274690-ministro-dos-portos-diz-que-obra-do-tunel-santos-guaruja-deve-comecar-em-janeiro-de-2027/</t>
        </is>
      </c>
    </row>
    <row r="217">
      <c r="A217" s="15" t="inlineStr">
        <is>
          <t>L03</t>
        </is>
      </c>
      <c r="B217" s="15" t="inlineStr">
        <is>
          <t>Lula</t>
        </is>
      </c>
      <c r="C217" s="15" t="inlineStr">
        <is>
          <t>Revisor</t>
        </is>
      </c>
      <c r="D217" s="15" t="inlineStr">
        <is>
          <t>https://agenciainfra.com/blog/?p=39597</t>
        </is>
      </c>
    </row>
    <row r="218">
      <c r="A218" s="15" t="inlineStr">
        <is>
          <t>L03</t>
        </is>
      </c>
      <c r="B218" s="15" t="inlineStr">
        <is>
          <t>Lula</t>
        </is>
      </c>
      <c r="C218" s="15" t="inlineStr">
        <is>
          <t>Revisor</t>
        </is>
      </c>
      <c r="D218" s="15" t="inlineStr">
        <is>
          <t>https://agenciainfra.com/blog/?p=38808</t>
        </is>
      </c>
    </row>
    <row r="219">
      <c r="A219" s="15" t="inlineStr">
        <is>
          <t>L03</t>
        </is>
      </c>
      <c r="B219" s="15" t="inlineStr">
        <is>
          <t>Lula</t>
        </is>
      </c>
      <c r="C219" s="15" t="inlineStr">
        <is>
          <t>Revisor</t>
        </is>
      </c>
      <c r="D219" s="15" t="inlineStr">
        <is>
          <t>https://bnamericas.com/en/news/brazil-disburses-us630mn-for-works-on-transnordestina-railroad</t>
        </is>
      </c>
    </row>
    <row r="220">
      <c r="A220" s="15" t="inlineStr">
        <is>
          <t>L03</t>
        </is>
      </c>
      <c r="B220" s="15" t="inlineStr">
        <is>
          <t>Lula</t>
        </is>
      </c>
      <c r="C220" s="15" t="inlineStr">
        <is>
          <t>Pesquisa inicial</t>
        </is>
      </c>
      <c r="D220" s="15" t="inlineStr">
        <is>
          <t>https://agenciabrasil.ebc.com.br/justica/noticia/2025-09/procurador-pede-suspensao-do-leilao-do-tunel-santos-guaruja</t>
        </is>
      </c>
    </row>
    <row r="221">
      <c r="A221" s="15" t="inlineStr">
        <is>
          <t>L03</t>
        </is>
      </c>
      <c r="B221" s="15" t="inlineStr">
        <is>
          <t>Lula</t>
        </is>
      </c>
      <c r="C221" s="15" t="inlineStr">
        <is>
          <t>Pesquisa inicial</t>
        </is>
      </c>
      <c r="D221" s="15" t="inlineStr">
        <is>
          <t>https://www.nsctotal.com.br/?p=7891864</t>
        </is>
      </c>
    </row>
    <row r="222">
      <c r="A222" s="15" t="inlineStr">
        <is>
          <t>L03</t>
        </is>
      </c>
      <c r="B222" s="15" t="inlineStr">
        <is>
          <t>Lula</t>
        </is>
      </c>
      <c r="C222" s="15" t="inlineStr">
        <is>
          <t>Pesquisa inicial</t>
        </is>
      </c>
      <c r="D222" s="15" t="inlineStr">
        <is>
          <t>https://movimentoeconomico.com.br/?p=120103</t>
        </is>
      </c>
    </row>
    <row r="223">
      <c r="A223" s="15" t="inlineStr">
        <is>
          <t>L04</t>
        </is>
      </c>
      <c r="B223" s="15" t="inlineStr">
        <is>
          <t>Lula</t>
        </is>
      </c>
      <c r="C223" s="15" t="inlineStr">
        <is>
          <t>Revisor</t>
        </is>
      </c>
      <c r="D223" s="15" t="inlineStr">
        <is>
          <t>https://apublica.org/2014/02/transposicao-um-projeto-dos-tempos-imperio/</t>
        </is>
      </c>
    </row>
    <row r="224">
      <c r="A224" s="15" t="inlineStr">
        <is>
          <t>L04</t>
        </is>
      </c>
      <c r="B224" s="15" t="inlineStr">
        <is>
          <t>Lula</t>
        </is>
      </c>
      <c r="C224" s="15" t="inlineStr">
        <is>
          <t>Revisor</t>
        </is>
      </c>
      <c r="D224" s="15" t="inlineStr">
        <is>
          <t>https://mais.opovo.com.br/colunistas/erico-firmo/2020/06/26/nem-lula-nem-bolsonaro-verdadeiro-pai-transposicao-piaui-viveu-cariri.html</t>
        </is>
      </c>
    </row>
    <row r="225">
      <c r="A225" s="15" t="inlineStr">
        <is>
          <t>L05</t>
        </is>
      </c>
      <c r="B225" s="15" t="inlineStr">
        <is>
          <t>Lula</t>
        </is>
      </c>
      <c r="C225" s="15" t="inlineStr">
        <is>
          <t>Revisor</t>
        </is>
      </c>
      <c r="D225" s="15" t="inlineStr">
        <is>
          <t>https://monitormercantil.com.br/sem-aumento-real-minimo-hoje-seria-de-r-573/</t>
        </is>
      </c>
    </row>
    <row r="226">
      <c r="A226" s="15" t="inlineStr">
        <is>
          <t>L05</t>
        </is>
      </c>
      <c r="B226" s="15" t="inlineStr">
        <is>
          <t>Lula</t>
        </is>
      </c>
      <c r="C226" s="15" t="inlineStr">
        <is>
          <t>Revisor</t>
        </is>
      </c>
      <c r="D226" s="15" t="inlineStr">
        <is>
          <t>https://www.dieese.org.br/notatecnica/2025/notaTec289salarioMinimo.pdf</t>
        </is>
      </c>
    </row>
    <row r="227">
      <c r="A227" s="15" t="inlineStr">
        <is>
          <t>L05</t>
        </is>
      </c>
      <c r="B227" s="15" t="inlineStr">
        <is>
          <t>Lula</t>
        </is>
      </c>
      <c r="C227" s="15" t="inlineStr">
        <is>
          <t>Revisor</t>
        </is>
      </c>
      <c r="D227" s="15" t="inlineStr">
        <is>
          <t>Decreto 12.797/2025</t>
        </is>
      </c>
    </row>
    <row r="228">
      <c r="A228" s="15" t="inlineStr">
        <is>
          <t>L05</t>
        </is>
      </c>
      <c r="B228" s="15" t="inlineStr">
        <is>
          <t>Lula</t>
        </is>
      </c>
      <c r="C228" s="15" t="inlineStr">
        <is>
          <t>Pesquisa inicial</t>
        </is>
      </c>
      <c r="D228" s="15" t="inlineStr">
        <is>
          <t>Decreto 12.797/2025 (salário mínimo de R$ 1.621)</t>
        </is>
      </c>
    </row>
    <row r="229">
      <c r="A229" s="15" t="inlineStr">
        <is>
          <t>L06</t>
        </is>
      </c>
      <c r="B229" s="15" t="inlineStr">
        <is>
          <t>Lula</t>
        </is>
      </c>
      <c r="C229" s="15" t="inlineStr">
        <is>
          <t>Revisor</t>
        </is>
      </c>
      <c r="D229" s="15" t="inlineStr">
        <is>
          <t>https://mais.opovo.com.br/jornal/economia/2026/10/14/fim-da-escala-6x1-sem-reducao-de-salario-e-aprovado-no-senado.html</t>
        </is>
      </c>
    </row>
    <row r="230">
      <c r="A230" s="15" t="inlineStr">
        <is>
          <t>L07</t>
        </is>
      </c>
      <c r="B230" s="15" t="inlineStr">
        <is>
          <t>Lula</t>
        </is>
      </c>
      <c r="C230" s="15" t="inlineStr">
        <is>
          <t>Revisor</t>
        </is>
      </c>
      <c r="D230" s="15" t="inlineStr">
        <is>
          <t>https://www.poder360.com.br/poder-economia/balanca-comercial-atinge-superavit-de-us-683-bi-em-2025/</t>
        </is>
      </c>
    </row>
    <row r="231">
      <c r="A231" s="15" t="inlineStr">
        <is>
          <t>L07</t>
        </is>
      </c>
      <c r="B231" s="15" t="inlineStr">
        <is>
          <t>Lula</t>
        </is>
      </c>
      <c r="C231" s="15" t="inlineStr">
        <is>
          <t>Revisor</t>
        </is>
      </c>
      <c r="D231" s="15" t="inlineStr">
        <is>
          <t>https://www.oliberal.com/economia/de-paula-governo-lula-abriu-700-novos-mercados-contra-241-mercados-do-governo-anterior-1.1182184</t>
        </is>
      </c>
    </row>
    <row r="232">
      <c r="A232" s="15" t="inlineStr">
        <is>
          <t>L07</t>
        </is>
      </c>
      <c r="B232" s="15" t="inlineStr">
        <is>
          <t>Lula</t>
        </is>
      </c>
      <c r="C232" s="15" t="inlineStr">
        <is>
          <t>Pesquisa inicial</t>
        </is>
      </c>
      <c r="D232" s="15" t="inlineStr">
        <is>
          <t>https://sbtnews.sbt.com.br/noticia/economia/balanca-comercial-tem-superavit-de-us-68-3-bilhoes-em-2025-o-terceiro-maior-da-serie</t>
        </is>
      </c>
    </row>
    <row r="233">
      <c r="A233" s="15" t="inlineStr">
        <is>
          <t>L07</t>
        </is>
      </c>
      <c r="B233" s="15" t="inlineStr">
        <is>
          <t>Lula</t>
        </is>
      </c>
      <c r="C233" s="15" t="inlineStr">
        <is>
          <t>Pesquisa inicial</t>
        </is>
      </c>
      <c r="D233" s="15" t="inlineStr">
        <is>
          <t>https://www.opovo.com.br/noticias/politica/2025/12/15/lula-destaca-abertura-de-500-mercados-internacionais-para-agropecuaria.html</t>
        </is>
      </c>
    </row>
    <row r="234">
      <c r="A234" s="15" t="inlineStr">
        <is>
          <t>L08</t>
        </is>
      </c>
      <c r="B234" s="15" t="inlineStr">
        <is>
          <t>Lula</t>
        </is>
      </c>
      <c r="C234" s="15" t="inlineStr">
        <is>
          <t>Revisor</t>
        </is>
      </c>
      <c r="D234" s="15" t="inlineStr">
        <is>
          <t>https://www.correiobraziliense.com.br/brasil/2022/06/5013817-33-milhoes-de-pessoas-passam-fome-no-brasil-aponta-pesquisa.html</t>
        </is>
      </c>
    </row>
    <row r="235">
      <c r="A235" s="15" t="inlineStr">
        <is>
          <t>L08</t>
        </is>
      </c>
      <c r="B235" s="15" t="inlineStr">
        <is>
          <t>Lula</t>
        </is>
      </c>
      <c r="C235" s="15" t="inlineStr">
        <is>
          <t>Revisor</t>
        </is>
      </c>
      <c r="D235" s="15" t="inlineStr">
        <is>
          <t>https://www.diariodepernambuco.com.br/noticia/brasil/2022/06/33-milhoes-de-pessoas-passam-fome-no-brasil-aponta-pesquisa.html</t>
        </is>
      </c>
    </row>
    <row r="236">
      <c r="A236" s="15" t="inlineStr">
        <is>
          <t>L09</t>
        </is>
      </c>
      <c r="B236" s="15" t="inlineStr">
        <is>
          <t>Lula</t>
        </is>
      </c>
      <c r="C236" s="15" t="inlineStr">
        <is>
          <t>Revisor</t>
        </is>
      </c>
      <c r="D236" s="15" t="inlineStr">
        <is>
          <t>https://www.lacapital.com.ar/segun-el-indec-la-pobreza-cayo-al-282-el-segundo-semestre-del-2025-n10263667.html</t>
        </is>
      </c>
    </row>
    <row r="237">
      <c r="A237" s="15" t="inlineStr">
        <is>
          <t>L09</t>
        </is>
      </c>
      <c r="B237" s="15" t="inlineStr">
        <is>
          <t>Lula</t>
        </is>
      </c>
      <c r="C237" s="15" t="inlineStr">
        <is>
          <t>Revisor</t>
        </is>
      </c>
      <c r="D237" s="15" t="inlineStr">
        <is>
          <t>https://www.forbesargentina.com/money/indec-revelo-pobreza-282-segunda-mitad-2025-quedo-debajo-30-n88562/amp</t>
        </is>
      </c>
    </row>
    <row r="238">
      <c r="A238" s="15" t="inlineStr">
        <is>
          <t>L09</t>
        </is>
      </c>
      <c r="B238" s="15" t="inlineStr">
        <is>
          <t>Lula</t>
        </is>
      </c>
      <c r="C238" s="15" t="inlineStr">
        <is>
          <t>Revisor</t>
        </is>
      </c>
      <c r="D238" s="15" t="inlineStr">
        <is>
          <t>https://www.c5n.com/economia/pobreza-indigencia-indec-segundo-semestre-31-marzo-2026</t>
        </is>
      </c>
    </row>
    <row r="239">
      <c r="A239" s="15" t="inlineStr">
        <is>
          <t>L09</t>
        </is>
      </c>
      <c r="B239" s="15" t="inlineStr">
        <is>
          <t>Lula</t>
        </is>
      </c>
      <c r="C239" s="15" t="inlineStr">
        <is>
          <t>Revisor</t>
        </is>
      </c>
      <c r="D239" s="15" t="inlineStr">
        <is>
          <t>https://www.bloomberglinea.com/latinoamerica/argentina/pobreza-bajo-en-argentina-durante-el-primer-semestre-del-2025-segun-el-indec/</t>
        </is>
      </c>
    </row>
    <row r="240">
      <c r="A240" s="15" t="inlineStr">
        <is>
          <t>L09</t>
        </is>
      </c>
      <c r="B240" s="15" t="inlineStr">
        <is>
          <t>Lula</t>
        </is>
      </c>
      <c r="C240" s="15" t="inlineStr">
        <is>
          <t>Revisor</t>
        </is>
      </c>
      <c r="D240" s="15" t="inlineStr">
        <is>
          <t>https://www.eldiario.ec/mundo/carne-de-burro-en-argentina-una-alternativa-economica-que-cuesta-el-50-que-la-vacuna-20042026/</t>
        </is>
      </c>
    </row>
    <row r="241">
      <c r="A241" s="15" t="inlineStr">
        <is>
          <t>L10</t>
        </is>
      </c>
      <c r="B241" s="15" t="inlineStr">
        <is>
          <t>Lula</t>
        </is>
      </c>
      <c r="C241" s="15" t="inlineStr">
        <is>
          <t>Revisor</t>
        </is>
      </c>
      <c r="D241" s="15" t="inlineStr">
        <is>
          <t>https://diariodocomercio.com.br/economia/ibge-aposentadorias-pensoes-2025/</t>
        </is>
      </c>
    </row>
    <row r="242">
      <c r="A242" s="15" t="inlineStr">
        <is>
          <t>L10</t>
        </is>
      </c>
      <c r="B242" s="15" t="inlineStr">
        <is>
          <t>Lula</t>
        </is>
      </c>
      <c r="C242" s="15" t="inlineStr">
        <is>
          <t>Revisor</t>
        </is>
      </c>
      <c r="D242" s="15" t="inlineStr">
        <is>
          <t>https://www.portaltela.com/noticias/economia/2026/05/08/aposentadorias-e-pensoes-chegam-a-138-da-populacao-no-brasil-que-envelhece/</t>
        </is>
      </c>
    </row>
    <row r="243">
      <c r="A243" s="15" t="inlineStr">
        <is>
          <t>L10</t>
        </is>
      </c>
      <c r="B243" s="15" t="inlineStr">
        <is>
          <t>Lula</t>
        </is>
      </c>
      <c r="C243" s="15" t="inlineStr">
        <is>
          <t>Revisor</t>
        </is>
      </c>
      <c r="D243" s="15" t="inlineStr">
        <is>
          <t>https://downloads.fipe.org.br/publicacoes/bif/bif505-8-15.pdf</t>
        </is>
      </c>
    </row>
    <row r="244">
      <c r="A244" s="15" t="inlineStr">
        <is>
          <t>L11</t>
        </is>
      </c>
      <c r="B244" s="15" t="inlineStr">
        <is>
          <t>Lula</t>
        </is>
      </c>
      <c r="C244" s="15" t="inlineStr">
        <is>
          <t>Revisor</t>
        </is>
      </c>
      <c r="D244" s="15" t="inlineStr">
        <is>
          <t>https://www.correiobraziliense.com.br/politica/2021/01/4900426-esta-complicada-a-situacao-la-resume-bolsonaro-sobre-manaus.html</t>
        </is>
      </c>
    </row>
    <row r="245">
      <c r="A245" s="15" t="inlineStr">
        <is>
          <t>L11</t>
        </is>
      </c>
      <c r="B245" s="15" t="inlineStr">
        <is>
          <t>Lula</t>
        </is>
      </c>
      <c r="C245" s="15" t="inlineStr">
        <is>
          <t>Revisor</t>
        </is>
      </c>
      <c r="D245" s="15" t="inlineStr">
        <is>
          <t>https://www.poder360.com.br/brasil/politicos-e-artistas-cobram-governo-por-falta-de-oxigenio-em-manaus/</t>
        </is>
      </c>
    </row>
    <row r="246">
      <c r="A246" s="15" t="inlineStr">
        <is>
          <t>L12</t>
        </is>
      </c>
      <c r="B246" s="15" t="inlineStr">
        <is>
          <t>Lula</t>
        </is>
      </c>
      <c r="C246" s="15" t="inlineStr">
        <is>
          <t>Revisor</t>
        </is>
      </c>
      <c r="D246" s="15" t="inlineStr">
        <is>
          <t>https://sbtnews.sbt.com.br/noticia/brasil/229263-stf-ordena-governo-federal-a-reativar-fundo-amazonia</t>
        </is>
      </c>
    </row>
    <row r="247">
      <c r="A247" s="15" t="inlineStr">
        <is>
          <t>L12</t>
        </is>
      </c>
      <c r="B247" s="15" t="inlineStr">
        <is>
          <t>Lula</t>
        </is>
      </c>
      <c r="C247" s="15" t="inlineStr">
        <is>
          <t>Revisor</t>
        </is>
      </c>
      <c r="D247" s="15" t="inlineStr">
        <is>
          <t>https://www.cnnbrasil.com.br/nacional/mourao-reativa-fundo-amazonia-e-retira-salles-do-comando/</t>
        </is>
      </c>
    </row>
    <row r="248">
      <c r="A248" s="15" t="inlineStr">
        <is>
          <t>L12</t>
        </is>
      </c>
      <c r="B248" s="15" t="inlineStr">
        <is>
          <t>Lula</t>
        </is>
      </c>
      <c r="C248" s="15" t="inlineStr">
        <is>
          <t>Pesquisa inicial</t>
        </is>
      </c>
      <c r="D248" s="15" t="inlineStr">
        <is>
          <t>https://congressoemfoco.com.br/noticia/8958/tecnicos-do-tcu-recomendam-multa-de-ate-r-79-mil-para-salles-por-desmonte-do-fundo-amazonia</t>
        </is>
      </c>
    </row>
    <row r="249">
      <c r="A249" s="15" t="inlineStr">
        <is>
          <t>L13</t>
        </is>
      </c>
      <c r="B249" s="15" t="inlineStr">
        <is>
          <t>Lula</t>
        </is>
      </c>
      <c r="C249" s="15" t="inlineStr">
        <is>
          <t>Revisor</t>
        </is>
      </c>
      <c r="D249" s="15" t="inlineStr">
        <is>
          <t>https://www.gov.br/mdr/pt-br/assuntos/seguranca-hidrica/projeto-sao-francisco</t>
        </is>
      </c>
    </row>
    <row r="250">
      <c r="A250" s="15" t="inlineStr">
        <is>
          <t>L14</t>
        </is>
      </c>
      <c r="B250" s="15" t="inlineStr">
        <is>
          <t>Lula</t>
        </is>
      </c>
      <c r="C250" s="15" t="inlineStr">
        <is>
          <t>Revisor</t>
        </is>
      </c>
      <c r="D250" s="15" t="inlineStr">
        <is>
          <t>https://agenciabrasil.ebc.com.br/economia/noticia/2026-08/rn-vai-abrigar-supercomputador-brasileiro-de-inteligencia-artificial</t>
        </is>
      </c>
    </row>
    <row r="251">
      <c r="A251" s="15" t="inlineStr">
        <is>
          <t>L14</t>
        </is>
      </c>
      <c r="B251" s="15" t="inlineStr">
        <is>
          <t>Lula</t>
        </is>
      </c>
      <c r="C251" s="15" t="inlineStr">
        <is>
          <t>Revisor</t>
        </is>
      </c>
      <c r="D251" s="15" t="inlineStr">
        <is>
          <t>https://movimentoeconomico.com.br/tecnologia/2026/07/20/contagem-regressiva-computadores-quanticos-ficam-prontos-ate-outubro-na-paraiba/</t>
        </is>
      </c>
    </row>
    <row r="252">
      <c r="A252" s="15" t="inlineStr">
        <is>
          <t>L14</t>
        </is>
      </c>
      <c r="B252" s="15" t="inlineStr">
        <is>
          <t>Lula</t>
        </is>
      </c>
      <c r="C252" s="15" t="inlineStr">
        <is>
          <t>Revisor</t>
        </is>
      </c>
      <c r="D252" s="15" t="inlineStr">
        <is>
          <t>https://movimentoeconomico.com.br/tecnologia/2026/06/26/paraiba-quantica-parceria-com-china-inicia-nova-era-computacional-no-brasil/</t>
        </is>
      </c>
    </row>
    <row r="253">
      <c r="A253" s="15" t="inlineStr">
        <is>
          <t>L14</t>
        </is>
      </c>
      <c r="B253" s="15" t="inlineStr">
        <is>
          <t>Lula</t>
        </is>
      </c>
      <c r="C253" s="15" t="inlineStr">
        <is>
          <t>Revisor</t>
        </is>
      </c>
      <c r="D253" s="15" t="inlineStr">
        <is>
          <t>https://agenciabrasil.ebc.com.br/geral/noticia/2023-10/ita-deve-impulsionar-desenvolvimento-tecnologico-no-nordeste</t>
        </is>
      </c>
    </row>
    <row r="254">
      <c r="A254" s="15" t="inlineStr">
        <is>
          <t>L14</t>
        </is>
      </c>
      <c r="B254" s="15" t="inlineStr">
        <is>
          <t>Lula</t>
        </is>
      </c>
      <c r="C254" s="15" t="inlineStr">
        <is>
          <t>Revisor</t>
        </is>
      </c>
      <c r="D254" s="15" t="inlineStr">
        <is>
          <t>https://monitormercantil.com.br/lula-inaugura-fabrica-da-byd-em-camacari-ba/</t>
        </is>
      </c>
    </row>
    <row r="255">
      <c r="A255" s="15" t="inlineStr">
        <is>
          <t>L14</t>
        </is>
      </c>
      <c r="B255" s="15" t="inlineStr">
        <is>
          <t>Lula</t>
        </is>
      </c>
      <c r="C255" s="15" t="inlineStr">
        <is>
          <t>Revisor</t>
        </is>
      </c>
      <c r="D255" s="15" t="inlineStr">
        <is>
          <t>https://www.diariodepernambuco.com.br/noticia/politica/2023/06/lula-visita-polo-automotivo-de-goiana-e-inaugura-linha-de-producao.html</t>
        </is>
      </c>
    </row>
    <row r="256">
      <c r="A256" s="15" t="inlineStr">
        <is>
          <t>L14</t>
        </is>
      </c>
      <c r="B256" s="15" t="inlineStr">
        <is>
          <t>Lula</t>
        </is>
      </c>
      <c r="C256" s="15" t="inlineStr">
        <is>
          <t>Pesquisa inicial</t>
        </is>
      </c>
      <c r="D256" s="15" t="inlineStr">
        <is>
          <t>https://agenciabrasil.ebc.com.br/tags/supercomputador</t>
        </is>
      </c>
    </row>
    <row r="257">
      <c r="A257" s="15" t="inlineStr">
        <is>
          <t>L14</t>
        </is>
      </c>
      <c r="B257" s="15" t="inlineStr">
        <is>
          <t>Lula</t>
        </is>
      </c>
      <c r="C257" s="15" t="inlineStr">
        <is>
          <t>Pesquisa inicial</t>
        </is>
      </c>
      <c r="D257" s="15" t="inlineStr">
        <is>
          <t>https://agenciabrasil.ebc.com.br/tags/computacao-quantica</t>
        </is>
      </c>
    </row>
    <row r="258">
      <c r="A258" s="15" t="inlineStr">
        <is>
          <t>L14</t>
        </is>
      </c>
      <c r="B258" s="15" t="inlineStr">
        <is>
          <t>Lula</t>
        </is>
      </c>
      <c r="C258" s="15" t="inlineStr">
        <is>
          <t>Pesquisa inicial</t>
        </is>
      </c>
      <c r="D258" s="15" t="inlineStr">
        <is>
          <t>https://agenciabrasil.ebc.com.br/tags/paraiba</t>
        </is>
      </c>
    </row>
    <row r="259">
      <c r="A259" s="15" t="inlineStr">
        <is>
          <t>L15</t>
        </is>
      </c>
      <c r="B259" s="15" t="inlineStr">
        <is>
          <t>Lula</t>
        </is>
      </c>
      <c r="C259" s="15" t="inlineStr">
        <is>
          <t>Revisor</t>
        </is>
      </c>
      <c r="D259" s="15" t="inlineStr">
        <is>
          <t>https://www.folhape.com.br/noticias/novo-pac-educacao/341415/</t>
        </is>
      </c>
    </row>
    <row r="260">
      <c r="A260" s="15" t="inlineStr">
        <is>
          <t>L15</t>
        </is>
      </c>
      <c r="B260" s="15" t="inlineStr">
        <is>
          <t>Lula</t>
        </is>
      </c>
      <c r="C260" s="15" t="inlineStr">
        <is>
          <t>Revisor</t>
        </is>
      </c>
      <c r="D260" s="15" t="inlineStr">
        <is>
          <t>https://www.correiodamanha.com.br/nacional/nordeste/2024/03/120617-nordeste-tera-maior-parte-dos-institutos-federais.html</t>
        </is>
      </c>
    </row>
    <row r="261">
      <c r="A261" s="15" t="inlineStr">
        <is>
          <t>L15</t>
        </is>
      </c>
      <c r="B261" s="15" t="inlineStr">
        <is>
          <t>Lula</t>
        </is>
      </c>
      <c r="C261" s="15" t="inlineStr">
        <is>
          <t>Revisor</t>
        </is>
      </c>
      <c r="D261" s="15" t="inlineStr">
        <is>
          <t>https://sbtnews.sbt.com.br/noticia/politica/governo-lula-anuncia-criacao-de-100-novos-institutos-federais</t>
        </is>
      </c>
    </row>
    <row r="262">
      <c r="A262" s="15" t="inlineStr">
        <is>
          <t>L16</t>
        </is>
      </c>
      <c r="B262" s="15" t="inlineStr">
        <is>
          <t>Lula</t>
        </is>
      </c>
      <c r="C262" s="15" t="inlineStr">
        <is>
          <t>Revisor</t>
        </is>
      </c>
      <c r="D262" s="15" t="inlineStr">
        <is>
          <t>https://acritica.net/politica/debate-lula-flavio-licenca-maternidade-2009-alerj/</t>
        </is>
      </c>
    </row>
    <row r="263">
      <c r="A263" s="15" t="inlineStr">
        <is>
          <t>L16</t>
        </is>
      </c>
      <c r="B263" s="15" t="inlineStr">
        <is>
          <t>Lula</t>
        </is>
      </c>
      <c r="C263" s="15" t="inlineStr">
        <is>
          <t>Revisor</t>
        </is>
      </c>
      <c r="D263" s="15" t="inlineStr">
        <is>
          <t>Transcrição do próprio debate (00:48): Flávio admite o voto contrário</t>
        </is>
      </c>
    </row>
    <row r="264">
      <c r="A264" s="15" t="inlineStr">
        <is>
          <t>L17</t>
        </is>
      </c>
      <c r="B264" s="15" t="inlineStr">
        <is>
          <t>Lula</t>
        </is>
      </c>
      <c r="C264" s="15" t="inlineStr">
        <is>
          <t>Revisor</t>
        </is>
      </c>
      <c r="D264" s="15" t="inlineStr">
        <is>
          <t>https://www.dgabc.com.br/Noticia/4353680/flavio-apaga-posts-em-que-criticava-bolsa-familia-e-chamava-beneficio-de-bolsa-farelo</t>
        </is>
      </c>
    </row>
    <row r="265">
      <c r="A265" s="15" t="inlineStr">
        <is>
          <t>L17</t>
        </is>
      </c>
      <c r="B265" s="15" t="inlineStr">
        <is>
          <t>Lula</t>
        </is>
      </c>
      <c r="C265" s="15" t="inlineStr">
        <is>
          <t>Revisor</t>
        </is>
      </c>
      <c r="D265" s="15" t="inlineStr">
        <is>
          <t>https://www.jb.com.br/brasil/politica/2026/10/1061287-flavio-bolsonaro-apaga-das-redes-sociais-postagens-nas-quais-chamava-o-bolsa-familia-de-bolsa-farelo.html</t>
        </is>
      </c>
    </row>
    <row r="266">
      <c r="A266" s="15" t="inlineStr">
        <is>
          <t>L17</t>
        </is>
      </c>
      <c r="B266" s="15" t="inlineStr">
        <is>
          <t>Lula</t>
        </is>
      </c>
      <c r="C266" s="15" t="inlineStr">
        <is>
          <t>Pesquisa inicial</t>
        </is>
      </c>
      <c r="D266" s="15" t="inlineStr">
        <is>
          <t>https://www.diariodepernambuco.com.br/politica/2026/06/11717089-de-bolsa-farelo-a-direito-flavio-bolsonaro-passou-de-critico-a-defensor-do-bolsa-familia.html</t>
        </is>
      </c>
    </row>
    <row r="267">
      <c r="A267" s="15" t="inlineStr">
        <is>
          <t>L18</t>
        </is>
      </c>
      <c r="B267" s="15" t="inlineStr">
        <is>
          <t>Lula</t>
        </is>
      </c>
      <c r="C267" s="15" t="inlineStr">
        <is>
          <t>Revisor</t>
        </is>
      </c>
      <c r="D267" s="15" t="inlineStr">
        <is>
          <t>https://agenciabrasil.ebc.com.br/educacao/noticia/2020-09/ufrj-maior-universidade-do-brasil-completa-100-anos</t>
        </is>
      </c>
    </row>
    <row r="268">
      <c r="A268" s="15" t="inlineStr">
        <is>
          <t>L18</t>
        </is>
      </c>
      <c r="B268" s="15" t="inlineStr">
        <is>
          <t>Lula</t>
        </is>
      </c>
      <c r="C268" s="15" t="inlineStr">
        <is>
          <t>Pesquisa inicial</t>
        </is>
      </c>
      <c r="D268" s="15" t="inlineStr">
        <is>
          <t>https://www.tupi.fm/?p=429759</t>
        </is>
      </c>
    </row>
    <row r="269">
      <c r="A269" s="15" t="inlineStr">
        <is>
          <t>L19</t>
        </is>
      </c>
      <c r="B269" s="15" t="inlineStr">
        <is>
          <t>Lula</t>
        </is>
      </c>
      <c r="C269" s="15" t="inlineStr">
        <is>
          <t>Revisor</t>
        </is>
      </c>
      <c r="D269" s="15" t="inlineStr">
        <is>
          <t>https://www.dgabc.com.br/Noticia/4354024/sancionada-lei-que-perdoa-divida-e-aumenta-limite-de-mei</t>
        </is>
      </c>
    </row>
    <row r="270">
      <c r="A270" s="15" t="inlineStr">
        <is>
          <t>L19</t>
        </is>
      </c>
      <c r="B270" s="15" t="inlineStr">
        <is>
          <t>Lula</t>
        </is>
      </c>
      <c r="C270" s="15" t="inlineStr">
        <is>
          <t>Revisor</t>
        </is>
      </c>
      <c r="D270" s="15" t="inlineStr">
        <is>
          <t>https://www.oliberal.com/economia/perd-o-de-dividas-pode-beneficiar-93-mil-meis-no-para-diz-governo-federal-1.1182244</t>
        </is>
      </c>
    </row>
    <row r="271">
      <c r="A271" s="15" t="inlineStr">
        <is>
          <t>L19</t>
        </is>
      </c>
      <c r="B271" s="15" t="inlineStr">
        <is>
          <t>Lula</t>
        </is>
      </c>
      <c r="C271" s="15" t="inlineStr">
        <is>
          <t>Pesquisa inicial</t>
        </is>
      </c>
      <c r="D271" s="15" t="inlineStr">
        <is>
          <t>https://movimentoeconomico.com.br/trabalho/2026/10/21/governo-federal-sanciona-perdao-de-dividas-e-teto-de-ate-r-140-mil-para-meis/</t>
        </is>
      </c>
    </row>
    <row r="272">
      <c r="A272" s="15" t="inlineStr">
        <is>
          <t>L19</t>
        </is>
      </c>
      <c r="B272" s="15" t="inlineStr">
        <is>
          <t>Lula</t>
        </is>
      </c>
      <c r="C272" s="15" t="inlineStr">
        <is>
          <t>Pesquisa inicial</t>
        </is>
      </c>
      <c r="D272" s="15" t="inlineStr">
        <is>
          <t>https://agenciasebrae.com.br/economia-e-politica/perdao-de-dividas-do-mei-veja-como-funcionara-a-medida-e-se-voce-podera-ser-contemplado/</t>
        </is>
      </c>
    </row>
    <row r="273">
      <c r="A273" s="15" t="inlineStr">
        <is>
          <t>L20</t>
        </is>
      </c>
      <c r="B273" s="15" t="inlineStr">
        <is>
          <t>Lula</t>
        </is>
      </c>
      <c r="C273" s="15" t="inlineStr">
        <is>
          <t>Revisor</t>
        </is>
      </c>
      <c r="D273" s="15" t="inlineStr">
        <is>
          <t>https://www.bcb.gov.br/controleinflacao/historicotaxasjuros</t>
        </is>
      </c>
    </row>
    <row r="274">
      <c r="A274" s="15" t="inlineStr">
        <is>
          <t>L20</t>
        </is>
      </c>
      <c r="B274" s="15" t="inlineStr">
        <is>
          <t>Lula</t>
        </is>
      </c>
      <c r="C274" s="15" t="inlineStr">
        <is>
          <t>Pesquisa inicial</t>
        </is>
      </c>
      <c r="D274" s="15" t="inlineStr">
        <is>
          <t>https://www.bcb.gov.br</t>
        </is>
      </c>
    </row>
    <row r="275">
      <c r="A275" s="15" t="inlineStr">
        <is>
          <t>L21</t>
        </is>
      </c>
      <c r="B275" s="15" t="inlineStr">
        <is>
          <t>Lula</t>
        </is>
      </c>
      <c r="C275" s="15" t="inlineStr">
        <is>
          <t>Revisor</t>
        </is>
      </c>
      <c r="D275" s="15" t="inlineStr">
        <is>
          <t>https://www.congressoemfoco.com.br/noticia/106767/pib-brasileiro-cresceu-3-4-em-2024-diz-ibge</t>
        </is>
      </c>
    </row>
    <row r="276">
      <c r="A276" s="15" t="inlineStr">
        <is>
          <t>L21</t>
        </is>
      </c>
      <c r="B276" s="15" t="inlineStr">
        <is>
          <t>Lula</t>
        </is>
      </c>
      <c r="C276" s="15" t="inlineStr">
        <is>
          <t>Revisor</t>
        </is>
      </c>
      <c r="D276" s="15" t="inlineStr">
        <is>
          <t>https://sbtnews.sbt.com.br/noticia/economia/pib-cresce-3-4-em-2024-e-fecha-o-ano-em-r-11-7-trilhoes-diz-ibge</t>
        </is>
      </c>
    </row>
    <row r="277">
      <c r="A277" s="15" t="inlineStr">
        <is>
          <t>L21</t>
        </is>
      </c>
      <c r="B277" s="15" t="inlineStr">
        <is>
          <t>Lula</t>
        </is>
      </c>
      <c r="C277" s="15" t="inlineStr">
        <is>
          <t>Revisor</t>
        </is>
      </c>
      <c r="D277" s="15" t="inlineStr">
        <is>
          <t>https://www.metropoles.com/negocios/ibge-revisa-resultado-do-pib-em-2021-e-diz-que-o-pais-cresceu-48</t>
        </is>
      </c>
    </row>
    <row r="278">
      <c r="A278" s="15" t="inlineStr">
        <is>
          <t>L21</t>
        </is>
      </c>
      <c r="B278" s="15" t="inlineStr">
        <is>
          <t>Lula</t>
        </is>
      </c>
      <c r="C278" s="15" t="inlineStr">
        <is>
          <t>Revisor</t>
        </is>
      </c>
      <c r="D278" s="15" t="inlineStr">
        <is>
          <t>https://agenciabrasil.ebc.com.br/economia/noticia/2015-03/economia-brasileira-cresceu-uma-taxa-media-anual-de-37-entre-2000-e-2011</t>
        </is>
      </c>
    </row>
    <row r="279">
      <c r="A279" s="15" t="inlineStr">
        <is>
          <t>L21</t>
        </is>
      </c>
      <c r="B279" s="15" t="inlineStr">
        <is>
          <t>Lula</t>
        </is>
      </c>
      <c r="C279" s="15" t="inlineStr">
        <is>
          <t>Pesquisa inicial</t>
        </is>
      </c>
      <c r="D279" s="15" t="inlineStr">
        <is>
          <t>https://agenciagov.ebc.com.br/noticias/202311/pib-cresce-4-8-e-totaliza-r-9-trilhoes-em-2021</t>
        </is>
      </c>
    </row>
    <row r="280">
      <c r="A280" s="15" t="inlineStr">
        <is>
          <t>L21</t>
        </is>
      </c>
      <c r="B280" s="15" t="inlineStr">
        <is>
          <t>Lula</t>
        </is>
      </c>
      <c r="C280" s="15" t="inlineStr">
        <is>
          <t>Pesquisa inicial</t>
        </is>
      </c>
      <c r="D280" s="15" t="inlineStr">
        <is>
          <t>https://exame.com/economia/revisao-de-dados-pelo-ibge-aumenta-pib-em-2-1/</t>
        </is>
      </c>
    </row>
    <row r="281">
      <c r="A281" s="15" t="inlineStr">
        <is>
          <t>L22</t>
        </is>
      </c>
      <c r="B281" s="15" t="inlineStr">
        <is>
          <t>Lula</t>
        </is>
      </c>
      <c r="C281" s="15" t="inlineStr">
        <is>
          <t>Revisor</t>
        </is>
      </c>
      <c r="D281" s="15" t="inlineStr">
        <is>
          <t>https://www.poder360.com.br/poder-eleicoes-2026/flavio-diz-que-o-sus-salvou-seu-pai-e-nega-cortes-na-saude/</t>
        </is>
      </c>
    </row>
    <row r="282">
      <c r="A282" s="15" t="inlineStr">
        <is>
          <t>L22</t>
        </is>
      </c>
      <c r="B282" s="15" t="inlineStr">
        <is>
          <t>Lula</t>
        </is>
      </c>
      <c r="C282" s="15" t="inlineStr">
        <is>
          <t>Revisor</t>
        </is>
      </c>
      <c r="D282" s="15" t="inlineStr">
        <is>
          <t>https://www.oliberal.com/politica/lula-diz-que-flavio-bolsonaro-fara-tesouraco-no-sus-senador-promete-investimentos-1.1186219</t>
        </is>
      </c>
    </row>
    <row r="283">
      <c r="A283" s="15" t="inlineStr">
        <is>
          <t>L22</t>
        </is>
      </c>
      <c r="B283" s="15" t="inlineStr">
        <is>
          <t>Lula</t>
        </is>
      </c>
      <c r="C283" s="15" t="inlineStr">
        <is>
          <t>Revisor</t>
        </is>
      </c>
      <c r="D283" s="15" t="inlineStr">
        <is>
          <t>https://agenciabrasil.ebc.com.br/politica/noticia/2026-09/flavio-bolsonaro-propoe-enxugar-estado-e-endurecer-acoes-de-seguranca</t>
        </is>
      </c>
    </row>
    <row r="284">
      <c r="A284" s="15" t="inlineStr">
        <is>
          <t>L23</t>
        </is>
      </c>
      <c r="B284" s="15" t="inlineStr">
        <is>
          <t>Lula</t>
        </is>
      </c>
      <c r="C284" s="15" t="inlineStr">
        <is>
          <t>Revisor</t>
        </is>
      </c>
      <c r="D284" s="15" t="inlineStr">
        <is>
          <t>https://covid.saude.gov.br (Painel Coronavírus - Ministério da Saúde)</t>
        </is>
      </c>
    </row>
    <row r="285">
      <c r="A285" s="15" t="inlineStr">
        <is>
          <t>L23</t>
        </is>
      </c>
      <c r="B285" s="15" t="inlineStr">
        <is>
          <t>Lula</t>
        </is>
      </c>
      <c r="C285" s="15" t="inlineStr">
        <is>
          <t>Revisor</t>
        </is>
      </c>
      <c r="D285" s="15" t="inlineStr">
        <is>
          <t>Relatório final da CPI da Pandemia - Senado Federal (out/2021)</t>
        </is>
      </c>
    </row>
    <row r="286">
      <c r="A286" s="15" t="inlineStr">
        <is>
          <t>L23</t>
        </is>
      </c>
      <c r="B286" s="15" t="inlineStr">
        <is>
          <t>Lula</t>
        </is>
      </c>
      <c r="C286" s="15" t="inlineStr">
        <is>
          <t>Revisor</t>
        </is>
      </c>
      <c r="D286" s="15" t="inlineStr">
        <is>
          <t>https://www.band.com.br/politica/eleicoes/lula-rebate-flavio-bolsonaro-sobre-saude-e-questiona-quer-privatizar-o-sus</t>
        </is>
      </c>
    </row>
    <row r="287">
      <c r="A287" s="15" t="inlineStr">
        <is>
          <t>L24</t>
        </is>
      </c>
      <c r="B287" s="15" t="inlineStr">
        <is>
          <t>Lula</t>
        </is>
      </c>
      <c r="C287" s="15" t="inlineStr">
        <is>
          <t>Revisor</t>
        </is>
      </c>
      <c r="D287" s="15" t="inlineStr">
        <is>
          <t>g1 - reportagem de 18/12/2020 sobre a fala do 'jacaré' em Porto Seguro</t>
        </is>
      </c>
    </row>
    <row r="288">
      <c r="A288" s="15" t="inlineStr">
        <is>
          <t>L24</t>
        </is>
      </c>
      <c r="B288" s="15" t="inlineStr">
        <is>
          <t>Lula</t>
        </is>
      </c>
      <c r="C288" s="15" t="inlineStr">
        <is>
          <t>Revisor</t>
        </is>
      </c>
      <c r="D288" s="15" t="inlineStr">
        <is>
          <t>Folha de S.Paulo - cobertura da defesa da cloroquina por Bolsonaro (2020)</t>
        </is>
      </c>
    </row>
    <row r="289">
      <c r="A289" s="15" t="inlineStr">
        <is>
          <t>L24</t>
        </is>
      </c>
      <c r="B289" s="15" t="inlineStr">
        <is>
          <t>Lula</t>
        </is>
      </c>
      <c r="C289" s="15" t="inlineStr">
        <is>
          <t>Revisor</t>
        </is>
      </c>
      <c r="D289" s="15" t="inlineStr">
        <is>
          <t>Relatório final da CPI da Pandemia - Senado Federal</t>
        </is>
      </c>
    </row>
    <row r="290">
      <c r="A290" s="15" t="inlineStr">
        <is>
          <t>L25</t>
        </is>
      </c>
      <c r="B290" s="15" t="inlineStr">
        <is>
          <t>Lula</t>
        </is>
      </c>
      <c r="C290" s="15" t="inlineStr">
        <is>
          <t>Revisor</t>
        </is>
      </c>
      <c r="D290" s="15" t="inlineStr">
        <is>
          <t>https://agenciabrasil.ebc.com.br/economia/noticia/2026-09/governo-cria-terceira-fase-do-desenrola-com-compra-de-dividas-pela-uni</t>
        </is>
      </c>
    </row>
    <row r="291">
      <c r="A291" s="15" t="inlineStr">
        <is>
          <t>L25</t>
        </is>
      </c>
      <c r="B291" s="15" t="inlineStr">
        <is>
          <t>Lula</t>
        </is>
      </c>
      <c r="C291" s="15" t="inlineStr">
        <is>
          <t>Revisor</t>
        </is>
      </c>
      <c r="D291" s="15" t="inlineStr">
        <is>
          <t>https://agenciabrasil.ebc.com.br/economia/noticia/2026-10/ministro-preve-renegociacao-de-r-90-bi-em-3a-fase-do-desenrola</t>
        </is>
      </c>
    </row>
    <row r="292">
      <c r="A292" s="15" t="inlineStr">
        <is>
          <t>L25</t>
        </is>
      </c>
      <c r="B292" s="15" t="inlineStr">
        <is>
          <t>Lula</t>
        </is>
      </c>
      <c r="C292" s="15" t="inlineStr">
        <is>
          <t>Revisor</t>
        </is>
      </c>
      <c r="D292" s="15" t="inlineStr">
        <is>
          <t>https://agenciabrasil.ebc.com.br/economia/noticia/2026-10/portaria-convoca-instituicoes-financeiras-para-3a-fase-do-desenrola</t>
        </is>
      </c>
    </row>
    <row r="293">
      <c r="A293" s="15" t="inlineStr">
        <is>
          <t>L25</t>
        </is>
      </c>
      <c r="B293" s="15" t="inlineStr">
        <is>
          <t>Lula</t>
        </is>
      </c>
      <c r="C293" s="15" t="inlineStr">
        <is>
          <t>Revisor</t>
        </is>
      </c>
      <c r="D293" s="15" t="inlineStr">
        <is>
          <t>https://www.gov.br/fazenda/pt-br/assuntos/noticias</t>
        </is>
      </c>
    </row>
    <row r="294">
      <c r="A294" s="15" t="inlineStr">
        <is>
          <t>L25</t>
        </is>
      </c>
      <c r="B294" s="15" t="inlineStr">
        <is>
          <t>Lula</t>
        </is>
      </c>
      <c r="C294" s="15" t="inlineStr">
        <is>
          <t>Pesquisa inicial</t>
        </is>
      </c>
      <c r="D294" s="15" t="inlineStr">
        <is>
          <t>Ministério da Fazenda (gov.br/fazenda) - balanço do Desenrola Brasil</t>
        </is>
      </c>
    </row>
    <row r="295">
      <c r="A295" s="15" t="inlineStr">
        <is>
          <t>L26</t>
        </is>
      </c>
      <c r="B295" s="15" t="inlineStr">
        <is>
          <t>Lula</t>
        </is>
      </c>
      <c r="C295" s="15" t="inlineStr">
        <is>
          <t>Revisor</t>
        </is>
      </c>
      <c r="D295" s="15" t="inlineStr">
        <is>
          <t>https://www.diariodepernambuco.com.br/politica/2026/09/11725131-associacoes-de-bets-pedem-ao-stf-a-suspensao-da-mp-que-proibe-apostas-on-line.html</t>
        </is>
      </c>
    </row>
    <row r="296">
      <c r="A296" s="15" t="inlineStr">
        <is>
          <t>L26</t>
        </is>
      </c>
      <c r="B296" s="15" t="inlineStr">
        <is>
          <t>Lula</t>
        </is>
      </c>
      <c r="C296" s="15" t="inlineStr">
        <is>
          <t>Revisor</t>
        </is>
      </c>
      <c r="D296" s="15" t="inlineStr">
        <is>
          <t>https://www.congressoemfoco.com.br/noticia/122611/setor-de-apostas-pede-ao-stf-que-suspenda-mp-de-lula-contra-bets</t>
        </is>
      </c>
    </row>
    <row r="297">
      <c r="A297" s="15" t="inlineStr">
        <is>
          <t>L27</t>
        </is>
      </c>
      <c r="B297" s="15" t="inlineStr">
        <is>
          <t>Lula</t>
        </is>
      </c>
      <c r="C297" s="15" t="inlineStr">
        <is>
          <t>Revisor</t>
        </is>
      </c>
      <c r="D297" s="15" t="inlineStr">
        <is>
          <t>Lei nº 13.756/2018 (Planalto)</t>
        </is>
      </c>
    </row>
    <row r="298">
      <c r="A298" s="15" t="inlineStr">
        <is>
          <t>L27</t>
        </is>
      </c>
      <c r="B298" s="15" t="inlineStr">
        <is>
          <t>Lula</t>
        </is>
      </c>
      <c r="C298" s="15" t="inlineStr">
        <is>
          <t>Revisor</t>
        </is>
      </c>
      <c r="D298" s="15" t="inlineStr">
        <is>
          <t>Lei nº 14.790/2023 (Planalto)</t>
        </is>
      </c>
    </row>
    <row r="299">
      <c r="A299" s="15" t="inlineStr">
        <is>
          <t>L28</t>
        </is>
      </c>
      <c r="B299" s="15" t="inlineStr">
        <is>
          <t>Lula</t>
        </is>
      </c>
      <c r="C299" s="15" t="inlineStr">
        <is>
          <t>Revisor</t>
        </is>
      </c>
      <c r="D299" s="15" t="inlineStr">
        <is>
          <t>https://www.metropoles.com/brasil/brasil-tem-quase-3-700-obras-paradas-na-area-da-educacao-diz-ministro</t>
        </is>
      </c>
    </row>
    <row r="300">
      <c r="A300" s="15" t="inlineStr">
        <is>
          <t>L28</t>
        </is>
      </c>
      <c r="B300" s="15" t="inlineStr">
        <is>
          <t>Lula</t>
        </is>
      </c>
      <c r="C300" s="15" t="inlineStr">
        <is>
          <t>Revisor</t>
        </is>
      </c>
      <c r="D300" s="15" t="inlineStr">
        <is>
          <t>https://www.correiobraziliense.com.br/politica/2023/05/amp/5094114-lula-anuncia-retomada-de-3-500-obras-escolares-paralisadas.html</t>
        </is>
      </c>
    </row>
    <row r="301">
      <c r="A301" s="15" t="inlineStr">
        <is>
          <t>L28</t>
        </is>
      </c>
      <c r="B301" s="15" t="inlineStr">
        <is>
          <t>Lula</t>
        </is>
      </c>
      <c r="C301" s="15" t="inlineStr">
        <is>
          <t>Revisor</t>
        </is>
      </c>
      <c r="D301" s="15" t="inlineStr">
        <is>
          <t>https://portaldeprefeitura.com.br/bastidores-da-politica/educacao-em-marcha-lenta-governo-lula-concluiu-apenas-12-das-obras/617211/</t>
        </is>
      </c>
    </row>
    <row r="302">
      <c r="A302" s="15" t="inlineStr">
        <is>
          <t>L29</t>
        </is>
      </c>
      <c r="B302" s="15" t="inlineStr">
        <is>
          <t>Lula</t>
        </is>
      </c>
      <c r="C302" s="15" t="inlineStr">
        <is>
          <t>Revisor</t>
        </is>
      </c>
      <c r="D302" s="15" t="inlineStr">
        <is>
          <t>Ministério da Educação (gov.br/mec) – anúncio do encerramento do Pecim, jul/2023 (a página não abriu nesta revisão, pois pediu CAPTCHA)</t>
        </is>
      </c>
    </row>
    <row r="303">
      <c r="A303" s="15" t="inlineStr">
        <is>
          <t>L29</t>
        </is>
      </c>
      <c r="B303" s="15" t="inlineStr">
        <is>
          <t>Lula</t>
        </is>
      </c>
      <c r="C303" s="15" t="inlineStr">
        <is>
          <t>Revisor</t>
        </is>
      </c>
      <c r="D303" s="15" t="inlineStr">
        <is>
          <t>Agência Brasil / g1 – cobertura do fim do Pecim em 2023</t>
        </is>
      </c>
    </row>
    <row r="304">
      <c r="A304" s="15" t="inlineStr">
        <is>
          <t>L29</t>
        </is>
      </c>
      <c r="B304" s="15" t="inlineStr">
        <is>
          <t>Lula</t>
        </is>
      </c>
      <c r="C304" s="15" t="inlineStr">
        <is>
          <t>Pesquisa inicial</t>
        </is>
      </c>
      <c r="D304" s="15" t="inlineStr">
        <is>
          <t>Ministério da Educação (gov.br/mec) – anúncio do encerramento do Pecim, jul/2023</t>
        </is>
      </c>
    </row>
    <row r="305">
      <c r="A305" s="15" t="inlineStr">
        <is>
          <t>L29</t>
        </is>
      </c>
      <c r="B305" s="15" t="inlineStr">
        <is>
          <t>Lula</t>
        </is>
      </c>
      <c r="C305" s="15" t="inlineStr">
        <is>
          <t>Pesquisa inicial</t>
        </is>
      </c>
      <c r="D305" s="15" t="inlineStr">
        <is>
          <t>Agência Brasil – cobertura do fim do Pecim, 2023</t>
        </is>
      </c>
    </row>
    <row r="306">
      <c r="A306" s="15" t="inlineStr">
        <is>
          <t>L29</t>
        </is>
      </c>
      <c r="B306" s="15" t="inlineStr">
        <is>
          <t>Lula</t>
        </is>
      </c>
      <c r="C306" s="15" t="inlineStr">
        <is>
          <t>Pesquisa inicial</t>
        </is>
      </c>
      <c r="D306" s="15" t="inlineStr">
        <is>
          <t>g1 – reportagens sobre o número de escolas do Pecim</t>
        </is>
      </c>
    </row>
    <row r="307">
      <c r="A307" s="15" t="inlineStr">
        <is>
          <t>L30</t>
        </is>
      </c>
      <c r="B307" s="15" t="inlineStr">
        <is>
          <t>Lula</t>
        </is>
      </c>
      <c r="C307" s="15" t="inlineStr">
        <is>
          <t>Revisor</t>
        </is>
      </c>
      <c r="D307" s="15" t="inlineStr">
        <is>
          <t>Folha de S.Paulo, 22/01/2019 – Flávio Bolsonaro empregou mãe e mulher de capitão preso em operação contra milícias</t>
        </is>
      </c>
    </row>
    <row r="308">
      <c r="A308" s="15" t="inlineStr">
        <is>
          <t>L30</t>
        </is>
      </c>
      <c r="B308" s="15" t="inlineStr">
        <is>
          <t>Lula</t>
        </is>
      </c>
      <c r="C308" s="15" t="inlineStr">
        <is>
          <t>Revisor</t>
        </is>
      </c>
      <c r="D308" s="15" t="inlineStr">
        <is>
          <t>Folha de S.Paulo, 24/01/2019 – ex-PM estava preso por homicídio quando Flávio o homenageou</t>
        </is>
      </c>
    </row>
    <row r="309">
      <c r="A309" s="15" t="inlineStr">
        <is>
          <t>L30</t>
        </is>
      </c>
      <c r="B309" s="15" t="inlineStr">
        <is>
          <t>Lula</t>
        </is>
      </c>
      <c r="C309" s="15" t="inlineStr">
        <is>
          <t>Revisor</t>
        </is>
      </c>
      <c r="D309" s="15" t="inlineStr">
        <is>
          <t>O Globo, 22/01/2019 – milicianos alvos de operação foram homenageados por Flávio em 2003-2004</t>
        </is>
      </c>
    </row>
    <row r="310">
      <c r="A310" s="15" t="inlineStr">
        <is>
          <t>L30</t>
        </is>
      </c>
      <c r="B310" s="15" t="inlineStr">
        <is>
          <t>Lula</t>
        </is>
      </c>
      <c r="C310" s="15" t="inlineStr">
        <is>
          <t>Revisor</t>
        </is>
      </c>
      <c r="D310" s="15" t="inlineStr">
        <is>
          <t>g1, 22/01/2019 – Flávio contratou mãe de foragido de operação contra milícia</t>
        </is>
      </c>
    </row>
    <row r="311">
      <c r="A311" s="15" t="inlineStr">
        <is>
          <t>L30</t>
        </is>
      </c>
      <c r="B311" s="15" t="inlineStr">
        <is>
          <t>Lula</t>
        </is>
      </c>
      <c r="C311" s="15" t="inlineStr">
        <is>
          <t>Revisor</t>
        </is>
      </c>
      <c r="D311" s="15" t="inlineStr">
        <is>
          <t>Valor Econômico, 22/01/2019 – Flávio elogiou duas vezes suspeito de atuar para milícia</t>
        </is>
      </c>
    </row>
    <row r="312">
      <c r="A312" s="15" t="inlineStr">
        <is>
          <t>L30</t>
        </is>
      </c>
      <c r="B312" s="15" t="inlineStr">
        <is>
          <t>Lula</t>
        </is>
      </c>
      <c r="C312" s="15" t="inlineStr">
        <is>
          <t>Pesquisa inicial</t>
        </is>
      </c>
      <c r="D312" s="15" t="inlineStr">
        <is>
          <t>Folha de S.Paulo – Flávio homenageou Adriano da Nóbrega na Alerj</t>
        </is>
      </c>
    </row>
    <row r="313">
      <c r="A313" s="15" t="inlineStr">
        <is>
          <t>L30</t>
        </is>
      </c>
      <c r="B313" s="15" t="inlineStr">
        <is>
          <t>Lula</t>
        </is>
      </c>
      <c r="C313" s="15" t="inlineStr">
        <is>
          <t>Pesquisa inicial</t>
        </is>
      </c>
      <c r="D313" s="15" t="inlineStr">
        <is>
          <t>O Globo – mãe e ex-mulher de Adriano no gabinete de Flávio</t>
        </is>
      </c>
    </row>
    <row r="314">
      <c r="A314" s="15" t="inlineStr">
        <is>
          <t>L30</t>
        </is>
      </c>
      <c r="B314" s="15" t="inlineStr">
        <is>
          <t>Lula</t>
        </is>
      </c>
      <c r="C314" s="15" t="inlineStr">
        <is>
          <t>Pesquisa inicial</t>
        </is>
      </c>
      <c r="D314" s="15" t="inlineStr">
        <is>
          <t>Diário Oficial da Alerj – concessão da Medalha Tiradentes (2005)</t>
        </is>
      </c>
    </row>
    <row r="315">
      <c r="A315" s="15" t="inlineStr">
        <is>
          <t>L31</t>
        </is>
      </c>
      <c r="B315" s="15" t="inlineStr">
        <is>
          <t>Lula</t>
        </is>
      </c>
      <c r="C315" s="15" t="inlineStr">
        <is>
          <t>Revisor</t>
        </is>
      </c>
      <c r="D315" s="15" t="inlineStr">
        <is>
          <t>https://www.metropoles.com/brasil/richarlison-x-willer-tomaz-lula-pede-que-pf-investigue-disputa-por-ilha</t>
        </is>
      </c>
    </row>
    <row r="316">
      <c r="A316" s="15" t="inlineStr">
        <is>
          <t>L31</t>
        </is>
      </c>
      <c r="B316" s="15" t="inlineStr">
        <is>
          <t>Lula</t>
        </is>
      </c>
      <c r="C316" s="15" t="inlineStr">
        <is>
          <t>Revisor</t>
        </is>
      </c>
      <c r="D316" s="15" t="inlineStr">
        <is>
          <t>https://www.cnnbrasil.com.br/eleicoes/richarlison-rebate-advogado-amigo-de-flavio-bolsonaro-em-disputa-por-ilha/</t>
        </is>
      </c>
    </row>
    <row r="317">
      <c r="A317" s="15" t="inlineStr">
        <is>
          <t>L31</t>
        </is>
      </c>
      <c r="B317" s="15" t="inlineStr">
        <is>
          <t>Lula</t>
        </is>
      </c>
      <c r="C317" s="15" t="inlineStr">
        <is>
          <t>Revisor</t>
        </is>
      </c>
      <c r="D317" s="15" t="inlineStr">
        <is>
          <t>https://www.cnnbrasil.com.br/blogs/jussara-soares/politica/pf-incluira-caso-da-ilha-de-richarlison-em-inquerito-sobre-flavio-e-willer/</t>
        </is>
      </c>
    </row>
    <row r="318">
      <c r="A318" s="15" t="inlineStr">
        <is>
          <t>L32</t>
        </is>
      </c>
      <c r="B318" s="15" t="inlineStr">
        <is>
          <t>Lula</t>
        </is>
      </c>
      <c r="C318" s="15" t="inlineStr">
        <is>
          <t>Revisor</t>
        </is>
      </c>
      <c r="D318" s="15" t="inlineStr">
        <is>
          <t>https://www.cnnbrasil.com.br/economia/daniel-vorcaro-dono-do-banco-master-e-preso-pela-policia-federal/</t>
        </is>
      </c>
    </row>
    <row r="319">
      <c r="A319" s="15" t="inlineStr">
        <is>
          <t>L32</t>
        </is>
      </c>
      <c r="B319" s="15" t="inlineStr">
        <is>
          <t>Lula</t>
        </is>
      </c>
      <c r="C319" s="15" t="inlineStr">
        <is>
          <t>Revisor</t>
        </is>
      </c>
      <c r="D319" s="15" t="inlineStr">
        <is>
          <t>https://www.cnnbrasil.com.br/politica/mendonca-manda-prender-vorcaro-em-nova-fase-da-operacao-da-pf-sobre-master/</t>
        </is>
      </c>
    </row>
    <row r="320">
      <c r="A320" s="15" t="inlineStr">
        <is>
          <t>L32</t>
        </is>
      </c>
      <c r="B320" s="15" t="inlineStr">
        <is>
          <t>Lula</t>
        </is>
      </c>
      <c r="C320" s="15" t="inlineStr">
        <is>
          <t>Pesquisa inicial</t>
        </is>
      </c>
      <c r="D320" s="15" t="inlineStr">
        <is>
          <t>Polícia Federal (gov.br/pf) – Operação Compliance Zero, nov/2025</t>
        </is>
      </c>
    </row>
    <row r="321">
      <c r="A321" s="15" t="inlineStr">
        <is>
          <t>L32</t>
        </is>
      </c>
      <c r="B321" s="15" t="inlineStr">
        <is>
          <t>Lula</t>
        </is>
      </c>
      <c r="C321" s="15" t="inlineStr">
        <is>
          <t>Pesquisa inicial</t>
        </is>
      </c>
      <c r="D321" s="15" t="inlineStr">
        <is>
          <t>Banco Central – liquidação extrajudicial do Banco Master, nov/2025</t>
        </is>
      </c>
    </row>
    <row r="322">
      <c r="A322" s="15" t="inlineStr">
        <is>
          <t>L32</t>
        </is>
      </c>
      <c r="B322" s="15" t="inlineStr">
        <is>
          <t>Lula</t>
        </is>
      </c>
      <c r="C322" s="15" t="inlineStr">
        <is>
          <t>Pesquisa inicial</t>
        </is>
      </c>
      <c r="D322" s="15" t="inlineStr">
        <is>
          <t>g1 / Folha – prisão de Daniel Vorcaro</t>
        </is>
      </c>
    </row>
    <row r="323">
      <c r="A323" s="15" t="inlineStr">
        <is>
          <t>L33</t>
        </is>
      </c>
      <c r="B323" s="15" t="inlineStr">
        <is>
          <t>Lula</t>
        </is>
      </c>
      <c r="C323" s="15" t="inlineStr">
        <is>
          <t>Revisor</t>
        </is>
      </c>
      <c r="D323" s="15" t="inlineStr">
        <is>
          <t>https://piauihoje.com/noticias/politica/flavio-participou-de-festa-com-garotas-de-programa-em-lancha-na-pandemia-diz-revista-468937.html</t>
        </is>
      </c>
    </row>
    <row r="324">
      <c r="A324" s="15" t="inlineStr">
        <is>
          <t>L33</t>
        </is>
      </c>
      <c r="B324" s="15" t="inlineStr">
        <is>
          <t>Lula</t>
        </is>
      </c>
      <c r="C324" s="15" t="inlineStr">
        <is>
          <t>Revisor</t>
        </is>
      </c>
      <c r="D324" s="15" t="inlineStr">
        <is>
          <t>https://www.diariodepernambuco.com.br/politica/2026/10/11727353-flavio-participou-de-churrasco-em-lancha-com-lobistas-e-garotas-de-programa.html</t>
        </is>
      </c>
    </row>
    <row r="325">
      <c r="A325" s="15" t="inlineStr">
        <is>
          <t>L33</t>
        </is>
      </c>
      <c r="B325" s="15" t="inlineStr">
        <is>
          <t>Lula</t>
        </is>
      </c>
      <c r="C325" s="15" t="inlineStr">
        <is>
          <t>Revisor</t>
        </is>
      </c>
      <c r="D325" s="15" t="inlineStr">
        <is>
          <t>https://poderparaiba.com.br/flavio-bolsonaro-festa-lancha-pandemia-precisa-medicamentos-piaui/</t>
        </is>
      </c>
    </row>
    <row r="326">
      <c r="A326" s="15" t="inlineStr">
        <is>
          <t>L33</t>
        </is>
      </c>
      <c r="B326" s="15" t="inlineStr">
        <is>
          <t>Lula</t>
        </is>
      </c>
      <c r="C326" s="15" t="inlineStr">
        <is>
          <t>Revisor</t>
        </is>
      </c>
      <c r="D326" s="15" t="inlineStr">
        <is>
          <t>https://www.bemparana.com.br/eleicoes-2026/flavio-bolsonaro-esteve-em-festa-em-lancha-com-prostitutas-e-lobistas-em-plena-pandemia-diz-revista/</t>
        </is>
      </c>
    </row>
    <row r="327">
      <c r="A327" s="15" t="inlineStr">
        <is>
          <t>L33</t>
        </is>
      </c>
      <c r="B327" s="15" t="inlineStr">
        <is>
          <t>Lula</t>
        </is>
      </c>
      <c r="C327" s="15" t="inlineStr">
        <is>
          <t>Revisor</t>
        </is>
      </c>
      <c r="D327" s="15" t="inlineStr">
        <is>
          <t>https://www.opiniaoce.com.br/politica/2026/10/22/flavio-bolsonaro-fez-festa-em-lancha-com-lobistas-e-garotas-de-programa-durante-pandemia-diz-revista/</t>
        </is>
      </c>
    </row>
    <row r="328">
      <c r="A328" s="15" t="inlineStr">
        <is>
          <t>L34</t>
        </is>
      </c>
      <c r="B328" s="15" t="inlineStr">
        <is>
          <t>Lula</t>
        </is>
      </c>
      <c r="C328" s="15" t="inlineStr">
        <is>
          <t>Revisor</t>
        </is>
      </c>
      <c r="D328" s="15" t="inlineStr">
        <is>
          <t>https://www.correiobraziliense.com.br/politica/2022/06/5012206-flavio-bolsonaro-justifica-compra-de-mansao-com-outras-fontes-de-renda.html</t>
        </is>
      </c>
    </row>
    <row r="329">
      <c r="A329" s="15" t="inlineStr">
        <is>
          <t>L34</t>
        </is>
      </c>
      <c r="B329" s="15" t="inlineStr">
        <is>
          <t>Lula</t>
        </is>
      </c>
      <c r="C329" s="15" t="inlineStr">
        <is>
          <t>Revisor</t>
        </is>
      </c>
      <c r="D329" s="15" t="inlineStr">
        <is>
          <t>Folha de S.Paulo, 01/06/2022 – Flávio diz que renda como advogado ajudou a pagar mansão de R$ 6 milhões</t>
        </is>
      </c>
    </row>
    <row r="330">
      <c r="A330" s="15" t="inlineStr">
        <is>
          <t>L34</t>
        </is>
      </c>
      <c r="B330" s="15" t="inlineStr">
        <is>
          <t>Lula</t>
        </is>
      </c>
      <c r="C330" s="15" t="inlineStr">
        <is>
          <t>Pesquisa inicial</t>
        </is>
      </c>
      <c r="D330" s="15" t="inlineStr">
        <is>
          <t>g1 – Flávio Bolsonaro compra mansão de quase R$ 6 milhões em Brasília (2021)</t>
        </is>
      </c>
    </row>
    <row r="331">
      <c r="A331" s="15" t="inlineStr">
        <is>
          <t>L34</t>
        </is>
      </c>
      <c r="B331" s="15" t="inlineStr">
        <is>
          <t>Lula</t>
        </is>
      </c>
      <c r="C331" s="15" t="inlineStr">
        <is>
          <t>Pesquisa inicial</t>
        </is>
      </c>
      <c r="D331" s="15" t="inlineStr">
        <is>
          <t>Folha de S.Paulo – financiamento da casa pelo BRB (2021)</t>
        </is>
      </c>
    </row>
    <row r="332">
      <c r="A332" s="15" t="inlineStr">
        <is>
          <t>L34</t>
        </is>
      </c>
      <c r="B332" s="15" t="inlineStr">
        <is>
          <t>Lula</t>
        </is>
      </c>
      <c r="C332" s="15" t="inlineStr">
        <is>
          <t>Pesquisa inicial</t>
        </is>
      </c>
      <c r="D332" s="15" t="inlineStr">
        <is>
          <t>Senado Federal – remuneração dos senadores</t>
        </is>
      </c>
    </row>
    <row r="333">
      <c r="A333" s="15" t="inlineStr">
        <is>
          <t>L35</t>
        </is>
      </c>
      <c r="B333" s="15" t="inlineStr">
        <is>
          <t>Lula</t>
        </is>
      </c>
      <c r="C333" s="15" t="inlineStr">
        <is>
          <t>Revisor</t>
        </is>
      </c>
      <c r="D333" s="15" t="inlineStr">
        <is>
          <t>https://www.terra.com.br/noticias/eleicoes/jair-bolsonaro-gastou-mais-no-cartao-corporativo-do-que-lula,4ffda9eadcc210176ff3273b5ac8f854m750onan.html</t>
        </is>
      </c>
    </row>
    <row r="334">
      <c r="A334" s="15" t="inlineStr">
        <is>
          <t>L35</t>
        </is>
      </c>
      <c r="B334" s="15" t="inlineStr">
        <is>
          <t>Lula</t>
        </is>
      </c>
      <c r="C334" s="15" t="inlineStr">
        <is>
          <t>Revisor</t>
        </is>
      </c>
      <c r="D334" s="15" t="inlineStr">
        <is>
          <t>https://portaldatransparencia.gov.br/cartoes</t>
        </is>
      </c>
    </row>
    <row r="335">
      <c r="A335" s="15" t="inlineStr">
        <is>
          <t>PF01</t>
        </is>
      </c>
      <c r="B335" s="15" t="inlineStr">
        <is>
          <t>Flávio</t>
        </is>
      </c>
      <c r="C335" s="15" t="inlineStr">
        <is>
          <t>Revisor</t>
        </is>
      </c>
      <c r="D335" s="15" t="inlineStr">
        <is>
          <t>https://www.diariodepernambuco.com.br/economia/2026/10/11725523-analise-sobre-trecho-pernambucano-da-ferrovia-transnordestina-e-adiada-pelo-tcu.html</t>
        </is>
      </c>
    </row>
    <row r="336">
      <c r="A336" s="15" t="inlineStr">
        <is>
          <t>PF01</t>
        </is>
      </c>
      <c r="B336" s="15" t="inlineStr">
        <is>
          <t>Flávio</t>
        </is>
      </c>
      <c r="C336" s="15" t="inlineStr">
        <is>
          <t>Revisor</t>
        </is>
      </c>
      <c r="D336" s="15" t="inlineStr">
        <is>
          <t>https://diariodonordeste.verdesmares.com.br/negocios/transnordestina-veja-cronograma-das-obras-e-o-que-muda-com-aditivo-do-contrato-da-ferrovia-no-ce-1.3318404</t>
        </is>
      </c>
    </row>
    <row r="337">
      <c r="A337" s="15" t="inlineStr">
        <is>
          <t>PF01</t>
        </is>
      </c>
      <c r="B337" s="15" t="inlineStr">
        <is>
          <t>Flávio</t>
        </is>
      </c>
      <c r="C337" s="15" t="inlineStr">
        <is>
          <t>Revisor</t>
        </is>
      </c>
      <c r="D337" s="15" t="inlineStr">
        <is>
          <t>https://www.diariodepernambuco.com.br/economia/2026/05/11714501-transnordestina-em-pernambuco-um-historico-de-decisoes-negativas.html</t>
        </is>
      </c>
    </row>
    <row r="338">
      <c r="A338" s="15" t="inlineStr">
        <is>
          <t>PF01</t>
        </is>
      </c>
      <c r="B338" s="15" t="inlineStr">
        <is>
          <t>Flávio</t>
        </is>
      </c>
      <c r="C338" s="15" t="inlineStr">
        <is>
          <t>Análise inicial</t>
        </is>
      </c>
      <c r="D338" s="15" t="inlineStr">
        <is>
          <t>https://www.diariodepernambuco.com.br/economia/2026/05/11714979-transnordestina-governo-e-empresarios-assinam-manifesto-pela-conclusao-do-trecho-salgueiro-suape.html</t>
        </is>
      </c>
    </row>
    <row r="339">
      <c r="A339" s="15" t="inlineStr">
        <is>
          <t>PF02</t>
        </is>
      </c>
      <c r="B339" s="15" t="inlineStr">
        <is>
          <t>Flávio</t>
        </is>
      </c>
      <c r="C339" s="15" t="inlineStr">
        <is>
          <t>Revisor</t>
        </is>
      </c>
      <c r="D339" s="15" t="inlineStr">
        <is>
          <t>https://www.parana.pr.gov.br/aen/Noticia/Perguntas-e-respostas-conheca-os-detalhes-do-edital-da-Nova-Ferroeste</t>
        </is>
      </c>
    </row>
    <row r="340">
      <c r="A340" s="15" t="inlineStr">
        <is>
          <t>PF02</t>
        </is>
      </c>
      <c r="B340" s="15" t="inlineStr">
        <is>
          <t>Flávio</t>
        </is>
      </c>
      <c r="C340" s="15" t="inlineStr">
        <is>
          <t>Revisor</t>
        </is>
      </c>
      <c r="D340" s="15" t="inlineStr">
        <is>
          <t>https://www.parana.pr.gov.br/aen/Noticia/Estado-divulga-o-edital-da-Nova-Ferroeste-ligacao-ferroviaria-que-vai-transformar-o</t>
        </is>
      </c>
    </row>
    <row r="341">
      <c r="A341" s="15" t="inlineStr">
        <is>
          <t>PF02</t>
        </is>
      </c>
      <c r="B341" s="15" t="inlineStr">
        <is>
          <t>Flávio</t>
        </is>
      </c>
      <c r="C341" s="15" t="inlineStr">
        <is>
          <t>Revisor</t>
        </is>
      </c>
      <c r="D341" s="15" t="inlineStr">
        <is>
          <t>https://www.campograndenews.com.br/economia/para-estudos-de-terra-indigena-em-ms-leilao-da-nova-ferroeste-ficara-para-2025</t>
        </is>
      </c>
    </row>
    <row r="342">
      <c r="A342" s="15" t="inlineStr">
        <is>
          <t>PF02</t>
        </is>
      </c>
      <c r="B342" s="15" t="inlineStr">
        <is>
          <t>Flávio</t>
        </is>
      </c>
      <c r="C342" s="15" t="inlineStr">
        <is>
          <t>Análise inicial</t>
        </is>
      </c>
      <c r="D342" s="15" t="inlineStr">
        <is>
          <t>https://www.semadesc.ms.gov.br/?p=120681</t>
        </is>
      </c>
    </row>
    <row r="343">
      <c r="A343" s="15" t="inlineStr">
        <is>
          <t>PF03</t>
        </is>
      </c>
      <c r="B343" s="15" t="inlineStr">
        <is>
          <t>Flávio</t>
        </is>
      </c>
      <c r="C343" s="15" t="inlineStr">
        <is>
          <t>Revisor</t>
        </is>
      </c>
      <c r="D343" s="15" t="inlineStr">
        <is>
          <t>https://agenciainfra.com/blog/mota-engil-aguarda-autorizacao-da-antt-para-assumir-fiol-1-diz-ministro/</t>
        </is>
      </c>
    </row>
    <row r="344">
      <c r="A344" s="15" t="inlineStr">
        <is>
          <t>PF03</t>
        </is>
      </c>
      <c r="B344" s="15" t="inlineStr">
        <is>
          <t>Flávio</t>
        </is>
      </c>
      <c r="C344" s="15" t="inlineStr">
        <is>
          <t>Revisor</t>
        </is>
      </c>
      <c r="D344" s="15" t="inlineStr">
        <is>
          <t>https://static.poder360.com.br/uploads/2026/10/001.733-2026-5-ASC-auditoria_Fiol_Lote-5F.pdf</t>
        </is>
      </c>
    </row>
    <row r="345">
      <c r="A345" s="15" t="inlineStr">
        <is>
          <t>PF03</t>
        </is>
      </c>
      <c r="B345" s="15" t="inlineStr">
        <is>
          <t>Flávio</t>
        </is>
      </c>
      <c r="C345" s="15" t="inlineStr">
        <is>
          <t>Revisor</t>
        </is>
      </c>
      <c r="D345" s="15" t="inlineStr">
        <is>
          <t>https://www.bnews.com.br/noticias/politica/governo-lanca-edital-de-meio-bilhao-para-concluir-obras-da-fiol-na-bahia.html</t>
        </is>
      </c>
    </row>
    <row r="346">
      <c r="A346" s="15" t="inlineStr">
        <is>
          <t>PF03</t>
        </is>
      </c>
      <c r="B346" s="15" t="inlineStr">
        <is>
          <t>Flávio</t>
        </is>
      </c>
      <c r="C346" s="15" t="inlineStr">
        <is>
          <t>Análise inicial</t>
        </is>
      </c>
      <c r="D346" s="15" t="inlineStr">
        <is>
          <t>https://www.gov.br/transportes/pt-br/assuntos/incentivos/incentivos-fiscais/reidi-requerimento-e-consulta/Portarian502de27abr2021ValecFIOLReidiDOU29abr2021.pdf</t>
        </is>
      </c>
    </row>
    <row r="347">
      <c r="A347" s="15" t="inlineStr">
        <is>
          <t>PF04</t>
        </is>
      </c>
      <c r="B347" s="15" t="inlineStr">
        <is>
          <t>Flávio</t>
        </is>
      </c>
      <c r="C347" s="15" t="inlineStr">
        <is>
          <t>Revisor</t>
        </is>
      </c>
      <c r="D347" s="15" t="inlineStr">
        <is>
          <t>https://www25.senado.leg.br/web/atividade/materias/-/materia/172564</t>
        </is>
      </c>
    </row>
    <row r="348">
      <c r="A348" s="15" t="inlineStr">
        <is>
          <t>PF04</t>
        </is>
      </c>
      <c r="B348" s="15" t="inlineStr">
        <is>
          <t>Flávio</t>
        </is>
      </c>
      <c r="C348" s="15" t="inlineStr">
        <is>
          <t>Revisor</t>
        </is>
      </c>
      <c r="D348" s="15" t="inlineStr">
        <is>
          <t>https://www12.senado.leg.br/ecidadania/visualizacaomateria?id=172564</t>
        </is>
      </c>
    </row>
    <row r="349">
      <c r="A349" s="15" t="inlineStr">
        <is>
          <t>PF04</t>
        </is>
      </c>
      <c r="B349" s="15" t="inlineStr">
        <is>
          <t>Flávio</t>
        </is>
      </c>
      <c r="C349" s="15" t="inlineStr">
        <is>
          <t>Análise inicial</t>
        </is>
      </c>
      <c r="D349" s="15" t="inlineStr">
        <is>
          <t>https://www.al.mt.gov.br/storage/webdisco/cp/20260615104430170100.pdf</t>
        </is>
      </c>
    </row>
    <row r="350">
      <c r="A350" s="15" t="inlineStr">
        <is>
          <t>PF05</t>
        </is>
      </c>
      <c r="B350" s="15" t="inlineStr">
        <is>
          <t>Flávio</t>
        </is>
      </c>
      <c r="C350" s="15" t="inlineStr">
        <is>
          <t>Revisor</t>
        </is>
      </c>
      <c r="D350" s="15" t="inlineStr">
        <is>
          <t>https://www.itatiaia.com.br/politica/governo-federal-lanca-escolas-conectadas-meta-e-ter-1388-mil-escolas-publicas-com-internet-de-qualidade-ate-2026/</t>
        </is>
      </c>
    </row>
    <row r="351">
      <c r="A351" s="15" t="inlineStr">
        <is>
          <t>PF05</t>
        </is>
      </c>
      <c r="B351" s="15" t="inlineStr">
        <is>
          <t>Flávio</t>
        </is>
      </c>
      <c r="C351" s="15" t="inlineStr">
        <is>
          <t>Revisor</t>
        </is>
      </c>
      <c r="D351" s="15" t="inlineStr">
        <is>
          <t>https://brasil61.com/n/internet-chega-a-quase-metade-das-escolas-publicas-do-acre-mcom260240</t>
        </is>
      </c>
    </row>
    <row r="352">
      <c r="A352" s="15" t="inlineStr">
        <is>
          <t>PF05</t>
        </is>
      </c>
      <c r="B352" s="15" t="inlineStr">
        <is>
          <t>Flávio</t>
        </is>
      </c>
      <c r="C352" s="15" t="inlineStr">
        <is>
          <t>Revisor</t>
        </is>
      </c>
      <c r="D352" s="15" t="inlineStr">
        <is>
          <t>https://brasil61.com/n/internet-chega-a-mais-da-metade-das-escolas-publicas-do-amazonas-mcom260243</t>
        </is>
      </c>
    </row>
    <row r="353">
      <c r="A353" s="15" t="inlineStr">
        <is>
          <t>PF05</t>
        </is>
      </c>
      <c r="B353" s="15" t="inlineStr">
        <is>
          <t>Flávio</t>
        </is>
      </c>
      <c r="C353" s="15" t="inlineStr">
        <is>
          <t>Revisor</t>
        </is>
      </c>
      <c r="D353" s="15" t="inlineStr">
        <is>
          <t>https://www.conexaoto.com.br/2026/04/11/tocantins-supera-70-das-escolas-publicas-conectadas-a-internet</t>
        </is>
      </c>
    </row>
    <row r="354">
      <c r="A354" s="15" t="inlineStr">
        <is>
          <t>PF06</t>
        </is>
      </c>
      <c r="B354" s="15" t="inlineStr">
        <is>
          <t>Flávio</t>
        </is>
      </c>
      <c r="C354" s="15" t="inlineStr">
        <is>
          <t>Revisor</t>
        </is>
      </c>
      <c r="D354" s="15" t="inlineStr">
        <is>
          <t>https://www.congressoemfoco.com.br/noticia/121825/projeto-de-orcamento-de-2027-preve-salario-minimo-de-r-1-741</t>
        </is>
      </c>
    </row>
    <row r="355">
      <c r="A355" s="15" t="inlineStr">
        <is>
          <t>PF06</t>
        </is>
      </c>
      <c r="B355" s="15" t="inlineStr">
        <is>
          <t>Flávio</t>
        </is>
      </c>
      <c r="C355" s="15" t="inlineStr">
        <is>
          <t>Revisor</t>
        </is>
      </c>
      <c r="D355" s="15" t="inlineStr">
        <is>
          <t>https://www.oliberal.com/politica/flavio-diz-que-nao-vai-desvincular-reajuste-do-minimo-e-nem-alterar-pisos-de-saude-e-educacao-1.1183567</t>
        </is>
      </c>
    </row>
    <row r="356">
      <c r="A356" s="15" t="inlineStr">
        <is>
          <t>PF06</t>
        </is>
      </c>
      <c r="B356" s="15" t="inlineStr">
        <is>
          <t>Flávio</t>
        </is>
      </c>
      <c r="C356" s="15" t="inlineStr">
        <is>
          <t>Revisor</t>
        </is>
      </c>
      <c r="D356" s="15" t="inlineStr">
        <is>
          <t>https://sbtnews.sbt.com.br/noticia/eleicoes/flavio-promete-reajuste-do-minimo-acima-da-inflacao</t>
        </is>
      </c>
    </row>
    <row r="357">
      <c r="A357" s="15" t="inlineStr">
        <is>
          <t>PF06</t>
        </is>
      </c>
      <c r="B357" s="15" t="inlineStr">
        <is>
          <t>Flávio</t>
        </is>
      </c>
      <c r="C357" s="15" t="inlineStr">
        <is>
          <t>Revisor</t>
        </is>
      </c>
      <c r="D357" s="15" t="inlineStr">
        <is>
          <t>https://sbtnews.sbt.com.br/noticia/politica/salario-minimo-de-2027-sera-de-r-1-741-diz-durigan</t>
        </is>
      </c>
    </row>
    <row r="358">
      <c r="A358" s="15" t="inlineStr">
        <is>
          <t>PF06</t>
        </is>
      </c>
      <c r="B358" s="15" t="inlineStr">
        <is>
          <t>Flávio</t>
        </is>
      </c>
      <c r="C358" s="15" t="inlineStr">
        <is>
          <t>Análise inicial</t>
        </is>
      </c>
      <c r="D358" s="15" t="inlineStr">
        <is>
          <t>https://www.correiodamanha.com.br/nacional/brasil/2026/08/311021-governo-projeta-salario-minimo-de-rs-1-741-para-2027.html</t>
        </is>
      </c>
    </row>
    <row r="359">
      <c r="A359" s="15" t="inlineStr">
        <is>
          <t>PF07</t>
        </is>
      </c>
      <c r="B359" s="15" t="inlineStr">
        <is>
          <t>Flávio</t>
        </is>
      </c>
      <c r="C359" s="15" t="inlineStr">
        <is>
          <t>Revisor</t>
        </is>
      </c>
      <c r="D359" s="15" t="inlineStr">
        <is>
          <t>https://www.congressoemfoco.com.br/noticia/123316/lula-propoe-usar-emendas-para-financiar-tarifa-zero-aos-fins-de-semana</t>
        </is>
      </c>
    </row>
    <row r="360">
      <c r="A360" s="15" t="inlineStr">
        <is>
          <t>PF07</t>
        </is>
      </c>
      <c r="B360" s="15" t="inlineStr">
        <is>
          <t>Flávio</t>
        </is>
      </c>
      <c r="C360" s="15" t="inlineStr">
        <is>
          <t>Revisor</t>
        </is>
      </c>
      <c r="D360" s="15" t="inlineStr">
        <is>
          <t>https://diariodotransporte.com.br/2026/10/16/tarifa-zero-aos-fins-de-semana-pode-custar-r-208-bilhoes-por-ano-calcula-ntu/</t>
        </is>
      </c>
    </row>
    <row r="361">
      <c r="A361" s="15" t="inlineStr">
        <is>
          <t>PF07</t>
        </is>
      </c>
      <c r="B361" s="15" t="inlineStr">
        <is>
          <t>Flávio</t>
        </is>
      </c>
      <c r="C361" s="15" t="inlineStr">
        <is>
          <t>Revisor</t>
        </is>
      </c>
      <c r="D361" s="15" t="inlineStr">
        <is>
          <t>https://www.dgabc.com.br/Noticia/4354042/tarifa-zero-governo-preve-r$-12-bi-mas-setor-estima-r$-20-8-bi</t>
        </is>
      </c>
    </row>
    <row r="362">
      <c r="A362" s="15" t="inlineStr">
        <is>
          <t>PF07</t>
        </is>
      </c>
      <c r="B362" s="15" t="inlineStr">
        <is>
          <t>Flávio</t>
        </is>
      </c>
      <c r="C362" s="15" t="inlineStr">
        <is>
          <t>Revisor</t>
        </is>
      </c>
      <c r="D362" s="15" t="inlineStr">
        <is>
          <t>https://timesbrasil.com.br/brasil/lula-diz-que-enviara-pec-da-tarifa-zero-ao-congresso-nesta-quarta-21-custo-pode-atingir-r-16-bilhoes-anuais/</t>
        </is>
      </c>
    </row>
    <row r="363">
      <c r="A363" s="15" t="inlineStr">
        <is>
          <t>PF08</t>
        </is>
      </c>
      <c r="B363" s="15" t="inlineStr">
        <is>
          <t>Flávio</t>
        </is>
      </c>
      <c r="C363" s="15" t="inlineStr">
        <is>
          <t>Revisor</t>
        </is>
      </c>
      <c r="D363" s="15" t="inlineStr">
        <is>
          <t>https://www.canalrural.com.br/politica/bloqueio-de-r-4617-milhoes-no-psr-e-atribuido-a-restricoes-fiscais/</t>
        </is>
      </c>
    </row>
    <row r="364">
      <c r="A364" s="15" t="inlineStr">
        <is>
          <t>PF08</t>
        </is>
      </c>
      <c r="B364" s="15" t="inlineStr">
        <is>
          <t>Flávio</t>
        </is>
      </c>
      <c r="C364" s="15" t="inlineStr">
        <is>
          <t>Revisor</t>
        </is>
      </c>
      <c r="D364" s="15" t="inlineStr">
        <is>
          <t>https://comprerural.com/governo-bloqueia-mais-r-56-milhoes-do-seguro-rural-as-vesperas-do-plano-safra-2026-27/</t>
        </is>
      </c>
    </row>
    <row r="365">
      <c r="A365" s="15" t="inlineStr">
        <is>
          <t>PF08</t>
        </is>
      </c>
      <c r="B365" s="15" t="inlineStr">
        <is>
          <t>Flávio</t>
        </is>
      </c>
      <c r="C365" s="15" t="inlineStr">
        <is>
          <t>Revisor</t>
        </is>
      </c>
      <c r="D365" s="15" t="inlineStr">
        <is>
          <t>https://www.jornalopcao.com.br/ultimas-noticias/plano-safra-2026-2027-anuncia-r-525-bilhoes-agro-de-goias-ve-reducao-do-credito-e-cobra-seguro-rural-842176/</t>
        </is>
      </c>
    </row>
    <row r="366">
      <c r="A366" s="15" t="inlineStr">
        <is>
          <t>PF08</t>
        </is>
      </c>
      <c r="B366" s="15" t="inlineStr">
        <is>
          <t>Flávio</t>
        </is>
      </c>
      <c r="C366" s="15" t="inlineStr">
        <is>
          <t>Análise inicial</t>
        </is>
      </c>
      <c r="D366" s="15" t="inlineStr">
        <is>
          <t>https://cnabrasil.org.br/noticias/sistema-faep-pede-r-670-bilhoes-no-plano-safra-2026-27</t>
        </is>
      </c>
    </row>
    <row r="367">
      <c r="A367" s="15" t="inlineStr">
        <is>
          <t>PF09</t>
        </is>
      </c>
      <c r="B367" s="15" t="inlineStr">
        <is>
          <t>Flávio</t>
        </is>
      </c>
      <c r="C367" s="15" t="inlineStr">
        <is>
          <t>Revisor</t>
        </is>
      </c>
      <c r="D367" s="15" t="inlineStr">
        <is>
          <t>https://correiodoestado.com.br/cidades/conflito-na-fronteira-ocupa-espaco-entre-as-propostas-dos-candidatos-a/475016/</t>
        </is>
      </c>
    </row>
    <row r="368">
      <c r="A368" s="15" t="inlineStr">
        <is>
          <t>PF09</t>
        </is>
      </c>
      <c r="B368" s="15" t="inlineStr">
        <is>
          <t>Flávio</t>
        </is>
      </c>
      <c r="C368" s="15" t="inlineStr">
        <is>
          <t>Revisor</t>
        </is>
      </c>
      <c r="D368" s="15" t="inlineStr">
        <is>
          <t>https://www.internazionale.it/ultime-notizie-reuters/2026/06/18/brazil-s-flavio-bolsonaro-pitches-crime-crackdown-to-boost-presidential-bid</t>
        </is>
      </c>
    </row>
    <row r="369">
      <c r="A369" s="15" t="inlineStr">
        <is>
          <t>PF09</t>
        </is>
      </c>
      <c r="B369" s="15" t="inlineStr">
        <is>
          <t>Flávio</t>
        </is>
      </c>
      <c r="C369" s="15" t="inlineStr">
        <is>
          <t>Revisor</t>
        </is>
      </c>
      <c r="D369" s="15" t="inlineStr">
        <is>
          <t>https://www.cnnbrasil.com.br/politica/grande-dia-diz-flavio-apos-eua-classificarem-pcc-e-cv-como-terroristas/</t>
        </is>
      </c>
    </row>
    <row r="370">
      <c r="A370" s="15" t="inlineStr">
        <is>
          <t>PF10</t>
        </is>
      </c>
      <c r="B370" s="15" t="inlineStr">
        <is>
          <t>Flávio</t>
        </is>
      </c>
      <c r="C370" s="15" t="inlineStr">
        <is>
          <t>Revisor</t>
        </is>
      </c>
      <c r="D370" s="15" t="inlineStr">
        <is>
          <t>https://estado.rs.gov.br/governo-do-estado-encaminha-a-uniao-pedido-de-adesao-ao-propag</t>
        </is>
      </c>
    </row>
    <row r="371">
      <c r="A371" s="15" t="inlineStr">
        <is>
          <t>PF10</t>
        </is>
      </c>
      <c r="B371" s="15" t="inlineStr">
        <is>
          <t>Flávio</t>
        </is>
      </c>
      <c r="C371" s="15" t="inlineStr">
        <is>
          <t>Revisor</t>
        </is>
      </c>
      <c r="D371" s="15" t="inlineStr">
        <is>
          <t>https://prefeitura.poa.br/gp/noticias/prefeito-reafirma-pedido-de-recursos-do-estado-para-obras-de-protecao-contra-cheias</t>
        </is>
      </c>
    </row>
    <row r="372">
      <c r="A372" s="15" t="inlineStr">
        <is>
          <t>PF10</t>
        </is>
      </c>
      <c r="B372" s="15" t="inlineStr">
        <is>
          <t>Flávio</t>
        </is>
      </c>
      <c r="C372" s="15" t="inlineStr">
        <is>
          <t>Revisor</t>
        </is>
      </c>
      <c r="D372" s="15" t="inlineStr">
        <is>
          <t>https://www.folhape.com.br/economia/ceron-esclarece-que-rs-esta-dispensado-de-aportes-a-fundo-do-propag/386185/</t>
        </is>
      </c>
    </row>
    <row r="373">
      <c r="A373" s="15" t="inlineStr">
        <is>
          <t>PF10</t>
        </is>
      </c>
      <c r="B373" s="15" t="inlineStr">
        <is>
          <t>Flávio</t>
        </is>
      </c>
      <c r="C373" s="15" t="inlineStr">
        <is>
          <t>Revisor</t>
        </is>
      </c>
      <c r="D373" s="15" t="inlineStr">
        <is>
          <t>https://sbtnews.sbt.com.br/noticia/brasil/sistema-anticheias-de-porto-alegre-tem-obras-paralisadas-um-ano-apos-a-tragedia</t>
        </is>
      </c>
    </row>
    <row r="374">
      <c r="A374" s="15" t="inlineStr">
        <is>
          <t>PF10</t>
        </is>
      </c>
      <c r="B374" s="15" t="inlineStr">
        <is>
          <t>Flávio</t>
        </is>
      </c>
      <c r="C374" s="15" t="inlineStr">
        <is>
          <t>Revisor</t>
        </is>
      </c>
      <c r="D374" s="15" t="inlineStr">
        <is>
          <t>https://www.poder360.com.br/poder-brasil/1-ano-apos-enchentes-porto-alegre-ainda-usa-sacos-de-areia-para-conter-agua/</t>
        </is>
      </c>
    </row>
    <row r="375">
      <c r="A375" s="15" t="inlineStr">
        <is>
          <t>PF11</t>
        </is>
      </c>
      <c r="B375" s="15" t="inlineStr">
        <is>
          <t>Flávio</t>
        </is>
      </c>
      <c r="C375" s="15" t="inlineStr">
        <is>
          <t>Revisor</t>
        </is>
      </c>
      <c r="D375" s="15" t="inlineStr">
        <is>
          <t>https://www.bandab.com.br/seguranca/policia-apreende-mais-de-1-tonelada-de-cocaina-em-paranagua/amp/</t>
        </is>
      </c>
    </row>
    <row r="376">
      <c r="A376" s="15" t="inlineStr">
        <is>
          <t>PF11</t>
        </is>
      </c>
      <c r="B376" s="15" t="inlineStr">
        <is>
          <t>Flávio</t>
        </is>
      </c>
      <c r="C376" s="15" t="inlineStr">
        <is>
          <t>Revisor</t>
        </is>
      </c>
      <c r="D376" s="15" t="inlineStr">
        <is>
          <t>https://www.planalto.gov.br/ccivil_03/leis/lcp/lcp97.htm</t>
        </is>
      </c>
    </row>
    <row r="377">
      <c r="A377" s="15" t="inlineStr">
        <is>
          <t>PF11</t>
        </is>
      </c>
      <c r="B377" s="15" t="inlineStr">
        <is>
          <t>Flávio</t>
        </is>
      </c>
      <c r="C377" s="15" t="inlineStr">
        <is>
          <t>Revisor</t>
        </is>
      </c>
      <c r="D377" s="15" t="inlineStr">
        <is>
          <t>https://agenciabrasil.ebc.com.br/geral/noticia/2023-07/pf-mira-quadrilha-que-enviava-cocaina-em-carga-madeira</t>
        </is>
      </c>
    </row>
    <row r="378">
      <c r="A378" s="15" t="inlineStr">
        <is>
          <t>PF11</t>
        </is>
      </c>
      <c r="B378" s="15" t="inlineStr">
        <is>
          <t>Flávio</t>
        </is>
      </c>
      <c r="C378" s="15" t="inlineStr">
        <is>
          <t>Revisor</t>
        </is>
      </c>
      <c r="D378" s="15" t="inlineStr">
        <is>
          <t>https://www.portosdoparana.pr.gov.br/Noticia/Acao-conjunta-intensifica-patrulha-maritima-na-regiao-dos-portos</t>
        </is>
      </c>
    </row>
    <row r="379">
      <c r="A379" s="15" t="inlineStr">
        <is>
          <t>PF12</t>
        </is>
      </c>
      <c r="B379" s="15" t="inlineStr">
        <is>
          <t>Flávio</t>
        </is>
      </c>
      <c r="C379" s="15" t="inlineStr">
        <is>
          <t>Revisor</t>
        </is>
      </c>
      <c r="D379" s="15" t="inlineStr">
        <is>
          <t>https://www.oliberal.com/belem/belem-esta-entre-os-20-piores-municipios-em-saneamento-no-pais-aponta-trata-brasil-1.1124810</t>
        </is>
      </c>
    </row>
    <row r="380">
      <c r="A380" s="15" t="inlineStr">
        <is>
          <t>PF12</t>
        </is>
      </c>
      <c r="B380" s="15" t="inlineStr">
        <is>
          <t>Flávio</t>
        </is>
      </c>
      <c r="C380" s="15" t="inlineStr">
        <is>
          <t>Revisor</t>
        </is>
      </c>
      <c r="D380" s="15" t="inlineStr">
        <is>
          <t>https://www.band.com.br/bandnews-fm/noticias/capital-da-cop-30-e-uma-das-ultimas-colocadas-no-ranking-de-saneamento-e-piora-situacao-em-2025-202507151206</t>
        </is>
      </c>
    </row>
    <row r="381">
      <c r="A381" s="15" t="inlineStr">
        <is>
          <t>PF12</t>
        </is>
      </c>
      <c r="B381" s="15" t="inlineStr">
        <is>
          <t>Flávio</t>
        </is>
      </c>
      <c r="C381" s="15" t="inlineStr">
        <is>
          <t>Revisor</t>
        </is>
      </c>
      <c r="D381" s="15" t="inlineStr">
        <is>
          <t>https://www.planalto.gov.br/ccivil_03/_ato2019-2022/2020/lei/l14026.htm</t>
        </is>
      </c>
    </row>
    <row r="382">
      <c r="A382" s="15" t="inlineStr">
        <is>
          <t>PF12</t>
        </is>
      </c>
      <c r="B382" s="15" t="inlineStr">
        <is>
          <t>Flávio</t>
        </is>
      </c>
      <c r="C382" s="15" t="inlineStr">
        <is>
          <t>Análise inicial</t>
        </is>
      </c>
      <c r="D382" s="15" t="inlineStr">
        <is>
          <t>https://www.infomoney.com.br/brasil/paradisiaca-santarem-no-para-e-a-cidade-brasileira-com-o-pior-saneamento-basico/</t>
        </is>
      </c>
    </row>
    <row r="383">
      <c r="A383" s="15" t="inlineStr">
        <is>
          <t>PF12</t>
        </is>
      </c>
      <c r="B383" s="15" t="inlineStr">
        <is>
          <t>Flávio</t>
        </is>
      </c>
      <c r="C383" s="15" t="inlineStr">
        <is>
          <t>Análise inicial</t>
        </is>
      </c>
      <c r="D383" s="15" t="inlineStr">
        <is>
          <t>https://brasil61.com/n/curitiba-vitoria-e-porto-alegre-registram-100-de-cobertura-de-abastecimento-de-agua-bras2514627</t>
        </is>
      </c>
    </row>
    <row r="384">
      <c r="A384" s="15" t="inlineStr">
        <is>
          <t>PF13</t>
        </is>
      </c>
      <c r="B384" s="15" t="inlineStr">
        <is>
          <t>Flávio</t>
        </is>
      </c>
      <c r="C384" s="15" t="inlineStr">
        <is>
          <t>Revisor</t>
        </is>
      </c>
      <c r="D384" s="15" t="inlineStr">
        <is>
          <t>https://www.agenciapara.com.br/noticia/77949/governo-do-para-e-uniao-assinam-licitacao-para-asfaltar-125-km-da-transamazonica</t>
        </is>
      </c>
    </row>
    <row r="385">
      <c r="A385" s="15" t="inlineStr">
        <is>
          <t>PF13</t>
        </is>
      </c>
      <c r="B385" s="15" t="inlineStr">
        <is>
          <t>Flávio</t>
        </is>
      </c>
      <c r="C385" s="15" t="inlineStr">
        <is>
          <t>Revisor</t>
        </is>
      </c>
      <c r="D385" s="15" t="inlineStr">
        <is>
          <t>https://www.gov.br/transportes/pt-br/assuntos/noticias/2026/06/ministro-dos-transportes-assina-aviso-de-edital-para-a-br-230-pa-e-a-transamazonica-avanca</t>
        </is>
      </c>
    </row>
    <row r="386">
      <c r="A386" s="15" t="inlineStr">
        <is>
          <t>PF13</t>
        </is>
      </c>
      <c r="B386" s="15" t="inlineStr">
        <is>
          <t>Flávio</t>
        </is>
      </c>
      <c r="C386" s="15" t="inlineStr">
        <is>
          <t>Revisor</t>
        </is>
      </c>
      <c r="D386" s="15" t="inlineStr">
        <is>
          <t>https://dol.com.br/noticias/para/noticia-125346-governo-asfalta-rodovia-no-entorno-de-belo-monte.html</t>
        </is>
      </c>
    </row>
    <row r="387">
      <c r="A387" s="15" t="inlineStr">
        <is>
          <t>PF13</t>
        </is>
      </c>
      <c r="B387" s="15" t="inlineStr">
        <is>
          <t>Flávio</t>
        </is>
      </c>
      <c r="C387" s="15" t="inlineStr">
        <is>
          <t>Revisor</t>
        </is>
      </c>
      <c r="D387" s="15" t="inlineStr">
        <is>
          <t>https://clickpetroleoegas.com.br/atoleiro-transamazonica-3-dias-caminhoes-carros-motos-trator-cbt-guincho-video-viral-btl96/</t>
        </is>
      </c>
    </row>
    <row r="388">
      <c r="A388" s="15" t="inlineStr">
        <is>
          <t>PF13</t>
        </is>
      </c>
      <c r="B388" s="15" t="inlineStr">
        <is>
          <t>Flávio</t>
        </is>
      </c>
      <c r="C388" s="15" t="inlineStr">
        <is>
          <t>Revisor</t>
        </is>
      </c>
      <c r="D388" s="15" t="inlineStr">
        <is>
          <t>https://www.gov.br/dnit/pt-br</t>
        </is>
      </c>
    </row>
    <row r="389">
      <c r="A389" s="15" t="inlineStr">
        <is>
          <t>PF14</t>
        </is>
      </c>
      <c r="B389" s="15" t="inlineStr">
        <is>
          <t>Flávio</t>
        </is>
      </c>
      <c r="C389" s="15" t="inlineStr">
        <is>
          <t>Revisor</t>
        </is>
      </c>
      <c r="D389" s="15" t="inlineStr">
        <is>
          <t>https://www12.senado.leg.br/noticias/materias/2026/09/01/incentivo-para-instalacao-de-data-centers-no-brasil-e-aprovado-pelo-senado</t>
        </is>
      </c>
    </row>
    <row r="390">
      <c r="A390" s="15" t="inlineStr">
        <is>
          <t>PF14</t>
        </is>
      </c>
      <c r="B390" s="15" t="inlineStr">
        <is>
          <t>Flávio</t>
        </is>
      </c>
      <c r="C390" s="15" t="inlineStr">
        <is>
          <t>Revisor</t>
        </is>
      </c>
      <c r="D390" s="15" t="inlineStr">
        <is>
          <t>https://startups.com.br/negocios/lula-sanciona-redata-e-cria-regime-fiscal-para-data-centers-no-brasil/</t>
        </is>
      </c>
    </row>
    <row r="391">
      <c r="A391" s="15" t="inlineStr">
        <is>
          <t>PF14</t>
        </is>
      </c>
      <c r="B391" s="15" t="inlineStr">
        <is>
          <t>Flávio</t>
        </is>
      </c>
      <c r="C391" s="15" t="inlineStr">
        <is>
          <t>Revisor</t>
        </is>
      </c>
      <c r="D391" s="15" t="inlineStr">
        <is>
          <t>https://www.culturaamazonica.com.br/2026/05/30/petrobras-investira-mais-de-r-28-bilhoes-no-amazonas-para-ampliar-producao-de-gas-natural-em-urucu-e-frota-de-embarcacoes/</t>
        </is>
      </c>
    </row>
    <row r="392">
      <c r="A392" s="15" t="inlineStr">
        <is>
          <t>PF14</t>
        </is>
      </c>
      <c r="B392" s="15" t="inlineStr">
        <is>
          <t>Flávio</t>
        </is>
      </c>
      <c r="C392" s="15" t="inlineStr">
        <is>
          <t>Revisor</t>
        </is>
      </c>
      <c r="D392" s="15" t="inlineStr">
        <is>
          <t>https://agencia.petrobras.com.br/w/petrobras-e-amaz%C3%B4nica-energy-firmam-primeiro-contrato-para-comercializa%C3%A7%C3%A3o-de-gnl-em-pequena-escala-a-partir-do-polo-urucu (não reaberta nesta revisão)</t>
        </is>
      </c>
    </row>
    <row r="393">
      <c r="A393" s="15" t="inlineStr">
        <is>
          <t>PF14</t>
        </is>
      </c>
      <c r="B393" s="15" t="inlineStr">
        <is>
          <t>Flávio</t>
        </is>
      </c>
      <c r="C393" s="15" t="inlineStr">
        <is>
          <t>Revisor</t>
        </is>
      </c>
      <c r="D393" s="15" t="inlineStr">
        <is>
          <t>https://www.moneytimes.com.br/eneva-enev3-inicia-operacao-da-ute-azulao-i-no-amazonas-e-garante-receita-anual-de-r-278-milhoes-pads/ (não reaberta nesta revisão)</t>
        </is>
      </c>
    </row>
    <row r="394">
      <c r="A394" s="15" t="inlineStr">
        <is>
          <t>PF14</t>
        </is>
      </c>
      <c r="B394" s="15" t="inlineStr">
        <is>
          <t>Flávio</t>
        </is>
      </c>
      <c r="C394" s="15" t="inlineStr">
        <is>
          <t>Análise inicial</t>
        </is>
      </c>
      <c r="D394" s="15" t="inlineStr">
        <is>
          <t>https://www.reformatributaria.com/governo/senado-aprova-isencao-de-r-52-bilhoes-em-tributos-para-data-centers-projeto-vai-a-sancao/</t>
        </is>
      </c>
    </row>
    <row r="395">
      <c r="A395" s="15" t="inlineStr">
        <is>
          <t>PF14</t>
        </is>
      </c>
      <c r="B395" s="15" t="inlineStr">
        <is>
          <t>Flávio</t>
        </is>
      </c>
      <c r="C395" s="15" t="inlineStr">
        <is>
          <t>Análise inicial</t>
        </is>
      </c>
      <c r="D395" s="15" t="inlineStr">
        <is>
          <t>https://agencia.petrobras.com.br/w/petrobras-e-amaz%C3%B4nica-energy-firmam-primeiro-contrato-para-comercializa%C3%A7%C3%A3o-de-gnl-em-pequena-escala-a-partir-do-polo-urucu</t>
        </is>
      </c>
    </row>
    <row r="396">
      <c r="A396" s="15" t="inlineStr">
        <is>
          <t>PF14</t>
        </is>
      </c>
      <c r="B396" s="15" t="inlineStr">
        <is>
          <t>Flávio</t>
        </is>
      </c>
      <c r="C396" s="15" t="inlineStr">
        <is>
          <t>Análise inicial</t>
        </is>
      </c>
      <c r="D396" s="15" t="inlineStr">
        <is>
          <t>https://www.moneytimes.com.br/eneva-enev3-inicia-operacao-da-ute-azulao-i-no-amazonas-e-garante-receita-anual-de-r-278-milhoes-pads/</t>
        </is>
      </c>
    </row>
    <row r="397">
      <c r="A397" s="15" t="inlineStr">
        <is>
          <t>PF14</t>
        </is>
      </c>
      <c r="B397" s="15" t="inlineStr">
        <is>
          <t>Flávio</t>
        </is>
      </c>
      <c r="C397" s="15" t="inlineStr">
        <is>
          <t>Análise inicial</t>
        </is>
      </c>
      <c r="D397" s="15" t="inlineStr">
        <is>
          <t>https://eixos.com.br/gas-natural/mercado-de-gas/aquisicao-na-bahia-e-fertilizantes-na-floresta-entram-no-radar-da-eneva/ (2022, contexto histórico)</t>
        </is>
      </c>
    </row>
    <row r="398">
      <c r="A398" s="15" t="inlineStr">
        <is>
          <t>PF15</t>
        </is>
      </c>
      <c r="B398" s="15" t="inlineStr">
        <is>
          <t>Flávio</t>
        </is>
      </c>
      <c r="C398" s="15" t="inlineStr">
        <is>
          <t>Revisor</t>
        </is>
      </c>
      <c r="D398" s="15" t="inlineStr">
        <is>
          <t>https://www.folhape.com.br/economia/governo-altera-regra-de-transicao-do-bolsa-familia-entenda/411481/</t>
        </is>
      </c>
    </row>
    <row r="399">
      <c r="A399" s="15" t="inlineStr">
        <is>
          <t>PF15</t>
        </is>
      </c>
      <c r="B399" s="15" t="inlineStr">
        <is>
          <t>Flávio</t>
        </is>
      </c>
      <c r="C399" s="15" t="inlineStr">
        <is>
          <t>Revisor</t>
        </is>
      </c>
      <c r="D399" s="15" t="inlineStr">
        <is>
          <t>https://www.gov.br/mds/pt-br/acoes-e-programas/bolsa-familia/informes/informe-bolsa-familia-115</t>
        </is>
      </c>
    </row>
    <row r="400">
      <c r="A400" s="15" t="inlineStr">
        <is>
          <t>PF15</t>
        </is>
      </c>
      <c r="B400" s="15" t="inlineStr">
        <is>
          <t>Flávio</t>
        </is>
      </c>
      <c r="C400" s="15" t="inlineStr">
        <is>
          <t>Revisor</t>
        </is>
      </c>
      <c r="D400" s="15" t="inlineStr">
        <is>
          <t>https://www.planalto.gov.br/ccivil_03/_ato2023-2026/2023/lei/l14601.htm</t>
        </is>
      </c>
    </row>
    <row r="401">
      <c r="A401" s="15" t="inlineStr">
        <is>
          <t>PF15</t>
        </is>
      </c>
      <c r="B401" s="15" t="inlineStr">
        <is>
          <t>Flávio</t>
        </is>
      </c>
      <c r="C401" s="15" t="inlineStr">
        <is>
          <t>Revisor</t>
        </is>
      </c>
      <c r="D401" s="15" t="inlineStr">
        <is>
          <t>https://www12.senado.leg.br/ifi</t>
        </is>
      </c>
    </row>
    <row r="402">
      <c r="A402" s="15" t="inlineStr">
        <is>
          <t>PF15</t>
        </is>
      </c>
      <c r="B402" s="15" t="inlineStr">
        <is>
          <t>Flávio</t>
        </is>
      </c>
      <c r="C402" s="15" t="inlineStr">
        <is>
          <t>Análise inicial</t>
        </is>
      </c>
      <c r="D402" s="15" t="inlineStr">
        <is>
          <t>https://www.gov.br/mds/pt-br/acoes-e-programas/bolsa-familia/Folder_1_Regra_de_Protecao.pdf</t>
        </is>
      </c>
    </row>
    <row r="403">
      <c r="A403" s="15" t="inlineStr">
        <is>
          <t>PF15</t>
        </is>
      </c>
      <c r="B403" s="15" t="inlineStr">
        <is>
          <t>Flávio</t>
        </is>
      </c>
      <c r="C403" s="15" t="inlineStr">
        <is>
          <t>Análise inicial</t>
        </is>
      </c>
      <c r="D403" s="15" t="inlineStr">
        <is>
          <t>https://www.band.com.br/noticias/bolsa-familia-vai-aumentar-e-verdade-quais-as-regras-202603021451</t>
        </is>
      </c>
    </row>
    <row r="404">
      <c r="A404" s="15" t="inlineStr">
        <is>
          <t>PF16</t>
        </is>
      </c>
      <c r="B404" s="15" t="inlineStr">
        <is>
          <t>Flávio</t>
        </is>
      </c>
      <c r="C404" s="15" t="inlineStr">
        <is>
          <t>Revisor</t>
        </is>
      </c>
      <c r="D404" s="15" t="inlineStr">
        <is>
          <t>https://sbtnews.sbt.com.br/colunas/coluna-da-amanda/plano-de-flavio-preve-trem-do-nordeste-e-acoes-para-mulheres</t>
        </is>
      </c>
    </row>
    <row r="405">
      <c r="A405" s="15" t="inlineStr">
        <is>
          <t>PF16</t>
        </is>
      </c>
      <c r="B405" s="15" t="inlineStr">
        <is>
          <t>Flávio</t>
        </is>
      </c>
      <c r="C405" s="15" t="inlineStr">
        <is>
          <t>Revisor</t>
        </is>
      </c>
      <c r="D405" s="15" t="inlineStr">
        <is>
          <t>https://www.dgabc.com.br/Noticia/4347238/no-ceara-flavio-bolsonaro-diz-querer-ser-reconhecido-como-o-novo-visconde-de-maua</t>
        </is>
      </c>
    </row>
    <row r="406">
      <c r="A406" s="15" t="inlineStr">
        <is>
          <t>PF16</t>
        </is>
      </c>
      <c r="B406" s="15" t="inlineStr">
        <is>
          <t>Flávio</t>
        </is>
      </c>
      <c r="C406" s="15" t="inlineStr">
        <is>
          <t>Revisor</t>
        </is>
      </c>
      <c r="D406" s="15" t="inlineStr">
        <is>
          <t>https://diariodonordeste.verdesmares.com.br/negocios/transnordestina-completa-20-anos-hoje-com-custo-3-vezes-maior-veja-curiosidades-da-ferrovia-1.3768181</t>
        </is>
      </c>
    </row>
    <row r="407">
      <c r="A407" s="15" t="inlineStr">
        <is>
          <t>PF16</t>
        </is>
      </c>
      <c r="B407" s="15" t="inlineStr">
        <is>
          <t>Flávio</t>
        </is>
      </c>
      <c r="C407" s="15" t="inlineStr">
        <is>
          <t>Revisor</t>
        </is>
      </c>
      <c r="D407" s="15" t="inlineStr">
        <is>
          <t>https://movimentoeconomico.com.br/geral/infraestrutura/ferrovia/2026/09/24/com-832-km-executados-transnordestina-recebe-r-772-mi-de-nova-parcela-do-fdne/</t>
        </is>
      </c>
    </row>
    <row r="408">
      <c r="A408" s="15" t="inlineStr">
        <is>
          <t>PF16</t>
        </is>
      </c>
      <c r="B408" s="15" t="inlineStr">
        <is>
          <t>Flávio</t>
        </is>
      </c>
      <c r="C408" s="15" t="inlineStr">
        <is>
          <t>Revisor</t>
        </is>
      </c>
      <c r="D408" s="15" t="inlineStr">
        <is>
          <t>https://www.poder360.com.br/poder-economia/divida-bruta-atinge-829-do-pib-em-agosto-diz-banco-central/</t>
        </is>
      </c>
    </row>
    <row r="409">
      <c r="A409" s="15" t="inlineStr">
        <is>
          <t>PF17</t>
        </is>
      </c>
      <c r="B409" s="15" t="inlineStr">
        <is>
          <t>Flávio</t>
        </is>
      </c>
      <c r="C409" s="15" t="inlineStr">
        <is>
          <t>Revisor</t>
        </is>
      </c>
      <c r="D409" s="15" t="inlineStr">
        <is>
          <t>https://www.poder360.com.br/poder-economia/divida-bruta-atinge-829-do-pib-em-agosto-diz-banco-central/</t>
        </is>
      </c>
    </row>
    <row r="410">
      <c r="A410" s="15" t="inlineStr">
        <is>
          <t>PF17</t>
        </is>
      </c>
      <c r="B410" s="15" t="inlineStr">
        <is>
          <t>Flávio</t>
        </is>
      </c>
      <c r="C410" s="15" t="inlineStr">
        <is>
          <t>Revisor</t>
        </is>
      </c>
      <c r="D410" s="15" t="inlineStr">
        <is>
          <t>https://www.dgabc.com.br/Noticia/4337550/focus-selic-no-fim-de-2026-segue-em-14-00-fim-de-2027-segue-em-12-00</t>
        </is>
      </c>
    </row>
    <row r="411">
      <c r="A411" s="15" t="inlineStr">
        <is>
          <t>PF17</t>
        </is>
      </c>
      <c r="B411" s="15" t="inlineStr">
        <is>
          <t>Flávio</t>
        </is>
      </c>
      <c r="C411" s="15" t="inlineStr">
        <is>
          <t>Revisor</t>
        </is>
      </c>
      <c r="D411" s="15" t="inlineStr">
        <is>
          <t>https://www2.senado.leg.br/jspui/bitstream/id/935942/5/RAF113_JUN2026_4_Cenarios_divida.pdf</t>
        </is>
      </c>
    </row>
    <row r="412">
      <c r="A412" s="15" t="inlineStr">
        <is>
          <t>PF18</t>
        </is>
      </c>
      <c r="B412" s="15" t="inlineStr">
        <is>
          <t>Flávio</t>
        </is>
      </c>
      <c r="C412" s="15" t="inlineStr">
        <is>
          <t>Revisor</t>
        </is>
      </c>
      <c r="D412" s="15" t="inlineStr">
        <is>
          <t>https://www.opovo.com.br/noticias/economia/2026/07/28/com-rs-22-bi-renegociados-desenrola-2-0-e-prorrogado-ate-agosto.html</t>
        </is>
      </c>
    </row>
    <row r="413">
      <c r="A413" s="15" t="inlineStr">
        <is>
          <t>PF18</t>
        </is>
      </c>
      <c r="B413" s="15" t="inlineStr">
        <is>
          <t>Flávio</t>
        </is>
      </c>
      <c r="C413" s="15" t="inlineStr">
        <is>
          <t>Revisor</t>
        </is>
      </c>
      <c r="D413" s="15" t="inlineStr">
        <is>
          <t>https://www.poder360.com.br/poder-economia/divida-bruta-atinge-829-do-pib-em-agosto-diz-banco-central/</t>
        </is>
      </c>
    </row>
    <row r="414">
      <c r="A414" s="15" t="inlineStr">
        <is>
          <t>PF19</t>
        </is>
      </c>
      <c r="B414" s="15" t="inlineStr">
        <is>
          <t>Flávio</t>
        </is>
      </c>
      <c r="C414" s="15" t="inlineStr">
        <is>
          <t>Revisor</t>
        </is>
      </c>
      <c r="D414" s="15" t="inlineStr">
        <is>
          <t>https://www.oliberal.com/economia/acredita-no-primeiro-passo-programa-do-governo-federal-para-empreendedores-e-lancado-no-para-1.851968</t>
        </is>
      </c>
    </row>
    <row r="415">
      <c r="A415" s="15" t="inlineStr">
        <is>
          <t>PF19</t>
        </is>
      </c>
      <c r="B415" s="15" t="inlineStr">
        <is>
          <t>Flávio</t>
        </is>
      </c>
      <c r="C415" s="15" t="inlineStr">
        <is>
          <t>Revisor</t>
        </is>
      </c>
      <c r="D415" s="15" t="inlineStr">
        <is>
          <t>https://mercadoeconsumo.com.br/19/10/2024/economia/presidente-da-caixa-diz-que-banco-sera-reconhecido-como-um-dos-que-mais-fara-microcredito/</t>
        </is>
      </c>
    </row>
    <row r="416">
      <c r="A416" s="15" t="inlineStr">
        <is>
          <t>PF19</t>
        </is>
      </c>
      <c r="B416" s="15" t="inlineStr">
        <is>
          <t>Flávio</t>
        </is>
      </c>
      <c r="C416" s="15" t="inlineStr">
        <is>
          <t>Revisor</t>
        </is>
      </c>
      <c r="D416" s="15" t="inlineStr">
        <is>
          <t>https://www.poder360.com.br/poder-economia/divida-bruta-atinge-829-do-pib-em-agosto-diz-banco-central/</t>
        </is>
      </c>
    </row>
    <row r="417">
      <c r="A417" s="15" t="inlineStr">
        <is>
          <t>PF19</t>
        </is>
      </c>
      <c r="B417" s="15" t="inlineStr">
        <is>
          <t>Flávio</t>
        </is>
      </c>
      <c r="C417" s="15" t="inlineStr">
        <is>
          <t>Análise inicial</t>
        </is>
      </c>
      <c r="D417" s="15" t="inlineStr">
        <is>
          <t>https://viva.com.br/cidadania-e-direitos/caixa-lanca-microcredito-para-inscritos-no-cadunico-veja-quem-tem-direito.html</t>
        </is>
      </c>
    </row>
    <row r="418">
      <c r="A418" s="15" t="inlineStr">
        <is>
          <t>PF20</t>
        </is>
      </c>
      <c r="B418" s="15" t="inlineStr">
        <is>
          <t>Flávio</t>
        </is>
      </c>
      <c r="C418" s="15" t="inlineStr">
        <is>
          <t>Revisor</t>
        </is>
      </c>
      <c r="D418" s="15" t="inlineStr">
        <is>
          <t>https://futurodasaude.com.br/santas-casas-reajuste-tabela-sus-stj/</t>
        </is>
      </c>
    </row>
    <row r="419">
      <c r="A419" s="15" t="inlineStr">
        <is>
          <t>PF20</t>
        </is>
      </c>
      <c r="B419" s="15" t="inlineStr">
        <is>
          <t>Flávio</t>
        </is>
      </c>
      <c r="C419" s="15" t="inlineStr">
        <is>
          <t>Revisor</t>
        </is>
      </c>
      <c r="D419" s="15" t="inlineStr">
        <is>
          <t>https://www.correiodamanha.com.br/nacional/sao-paulo/estado-de-sao-paulo/2026/09/323554-tabela-sus-paulista-chega-a-rs-12-bilhoes-em-repasses-para-hospitais-do-estado.html</t>
        </is>
      </c>
    </row>
    <row r="420">
      <c r="A420" s="15" t="inlineStr">
        <is>
          <t>PF20</t>
        </is>
      </c>
      <c r="B420" s="15" t="inlineStr">
        <is>
          <t>Flávio</t>
        </is>
      </c>
      <c r="C420" s="15" t="inlineStr">
        <is>
          <t>Revisor</t>
        </is>
      </c>
      <c r="D420" s="15" t="inlineStr">
        <is>
          <t>https://www.al.sp.gov.br/noticia/?id=500305</t>
        </is>
      </c>
    </row>
    <row r="421">
      <c r="A421" s="15" t="inlineStr">
        <is>
          <t>PF20</t>
        </is>
      </c>
      <c r="B421" s="15" t="inlineStr">
        <is>
          <t>Flávio</t>
        </is>
      </c>
      <c r="C421" s="15" t="inlineStr">
        <is>
          <t>Revisor</t>
        </is>
      </c>
      <c r="D421" s="15" t="inlineStr">
        <is>
          <t>https://timesbrasil.com.br/empresas-e-negocios/ciencias-e-saude/ate-90-do-atendimento-do-sus-no-interior-e-feito-por-santas-casas-diz-especialista/</t>
        </is>
      </c>
    </row>
    <row r="422">
      <c r="A422" s="15" t="inlineStr">
        <is>
          <t>PF20</t>
        </is>
      </c>
      <c r="B422" s="15" t="inlineStr">
        <is>
          <t>Flávio</t>
        </is>
      </c>
      <c r="C422" s="15" t="inlineStr">
        <is>
          <t>Revisor</t>
        </is>
      </c>
      <c r="D422" s="15" t="inlineStr">
        <is>
          <t>https://abcdoabc.com.br/obras-do-novo-campus-do-inca-recomecam-no-rio-apos-uma-decada-de-paralisacao/</t>
        </is>
      </c>
    </row>
    <row r="423">
      <c r="A423" s="15" t="inlineStr">
        <is>
          <t>PF21</t>
        </is>
      </c>
      <c r="B423" s="15" t="inlineStr">
        <is>
          <t>Flávio</t>
        </is>
      </c>
      <c r="C423" s="15" t="inlineStr">
        <is>
          <t>Revisor</t>
        </is>
      </c>
      <c r="D423" s="15" t="inlineStr">
        <is>
          <t>https://www.cnnbrasil.com.br/politica/tcu-julga-pe-de-meia-nesta-quarta-feira-12/</t>
        </is>
      </c>
    </row>
    <row r="424">
      <c r="A424" s="15" t="inlineStr">
        <is>
          <t>PF21</t>
        </is>
      </c>
      <c r="B424" s="15" t="inlineStr">
        <is>
          <t>Flávio</t>
        </is>
      </c>
      <c r="C424" s="15" t="inlineStr">
        <is>
          <t>Revisor</t>
        </is>
      </c>
      <c r="D424" s="15" t="inlineStr">
        <is>
          <t>https://www.folhape.com.br/economia/tcu-aponta-irregularidade-fiscal-e-confirma-bloqueio-de-r-6-bi-do/386268/</t>
        </is>
      </c>
    </row>
    <row r="425">
      <c r="A425" s="15" t="inlineStr">
        <is>
          <t>PF21</t>
        </is>
      </c>
      <c r="B425" s="15" t="inlineStr">
        <is>
          <t>Flávio</t>
        </is>
      </c>
      <c r="C425" s="15" t="inlineStr">
        <is>
          <t>Revisor</t>
        </is>
      </c>
      <c r="D425" s="15" t="inlineStr">
        <is>
          <t>https://acritica.net/economia/pe-de-meia-alta-903-orcamento-decisao-tcu-arcabouco-fiscal/</t>
        </is>
      </c>
    </row>
    <row r="426">
      <c r="A426" s="15" t="inlineStr">
        <is>
          <t>PF22</t>
        </is>
      </c>
      <c r="B426" s="15" t="inlineStr">
        <is>
          <t>Flávio</t>
        </is>
      </c>
      <c r="C426" s="15" t="inlineStr">
        <is>
          <t>Revisor</t>
        </is>
      </c>
      <c r="D426" s="15" t="inlineStr">
        <is>
          <t>https://conexaoto.com.br/2026/02/26/um-em-cada-quatro-alunos-da-rede-publica-estuda-em-tempo-integral</t>
        </is>
      </c>
    </row>
    <row r="427">
      <c r="A427" s="15" t="inlineStr">
        <is>
          <t>PF22</t>
        </is>
      </c>
      <c r="B427" s="15" t="inlineStr">
        <is>
          <t>Flávio</t>
        </is>
      </c>
      <c r="C427" s="15" t="inlineStr">
        <is>
          <t>Revisor</t>
        </is>
      </c>
      <c r="D427" s="15" t="inlineStr">
        <is>
          <t>https://diariodocomercio.com.br/?p=561940</t>
        </is>
      </c>
    </row>
    <row r="428">
      <c r="A428" s="15" t="inlineStr">
        <is>
          <t>PF22</t>
        </is>
      </c>
      <c r="B428" s="15" t="inlineStr">
        <is>
          <t>Flávio</t>
        </is>
      </c>
      <c r="C428" s="15" t="inlineStr">
        <is>
          <t>Revisor</t>
        </is>
      </c>
      <c r="D428" s="15" t="inlineStr">
        <is>
          <t>https://www.metropoles.com/brasil/censo-escolar-alunos-tempo-integral</t>
        </is>
      </c>
    </row>
    <row r="429">
      <c r="A429" s="15" t="inlineStr">
        <is>
          <t>PF22</t>
        </is>
      </c>
      <c r="B429" s="15" t="inlineStr">
        <is>
          <t>Flávio</t>
        </is>
      </c>
      <c r="C429" s="15" t="inlineStr">
        <is>
          <t>Revisor</t>
        </is>
      </c>
      <c r="D429" s="15" t="inlineStr">
        <is>
          <t>https://www.itatiaia.com.br/educacao/censo-escolar-registra-queda-de-1-milhao-nas-matriculas-e-avanco-do-ensino-tecnico/</t>
        </is>
      </c>
    </row>
    <row r="430">
      <c r="A430" s="15" t="inlineStr">
        <is>
          <t>PF22</t>
        </is>
      </c>
      <c r="B430" s="15" t="inlineStr">
        <is>
          <t>Flávio</t>
        </is>
      </c>
      <c r="C430" s="15" t="inlineStr">
        <is>
          <t>Revisor</t>
        </is>
      </c>
      <c r="D430" s="15" t="inlineStr">
        <is>
          <t>https://jornaldebrasilia.com.br/noticias/brasil/brasil-registra-queda-de-1-milhao-de-alunos-na-educacao-basica-a-maior-em-duas-decadas/</t>
        </is>
      </c>
    </row>
    <row r="431">
      <c r="A431" s="15" t="inlineStr">
        <is>
          <t>PF22</t>
        </is>
      </c>
      <c r="B431" s="15" t="inlineStr">
        <is>
          <t>Flávio</t>
        </is>
      </c>
      <c r="C431" s="15" t="inlineStr">
        <is>
          <t>Revisor</t>
        </is>
      </c>
      <c r="D431" s="15" t="inlineStr">
        <is>
          <t>Lei 14.640/2023 e Lei 14.945/2024 (planalto.gov.br)</t>
        </is>
      </c>
    </row>
    <row r="432">
      <c r="A432" s="15" t="inlineStr">
        <is>
          <t>PF23</t>
        </is>
      </c>
      <c r="B432" s="15" t="inlineStr">
        <is>
          <t>Flávio</t>
        </is>
      </c>
      <c r="C432" s="15" t="inlineStr">
        <is>
          <t>Revisor</t>
        </is>
      </c>
      <c r="D432" s="15" t="inlineStr">
        <is>
          <t>https://www.poder360.com.br/poder-congresso/motta-barra-emendas-que-enquadram-faccoes-como-terrorismo/</t>
        </is>
      </c>
    </row>
    <row r="433">
      <c r="A433" s="15" t="inlineStr">
        <is>
          <t>PF23</t>
        </is>
      </c>
      <c r="B433" s="15" t="inlineStr">
        <is>
          <t>Flávio</t>
        </is>
      </c>
      <c r="C433" s="15" t="inlineStr">
        <is>
          <t>Revisor</t>
        </is>
      </c>
      <c r="D433" s="15" t="inlineStr">
        <is>
          <t>https://www.opovo.com.br/noticias/mundo/2026/03/26/entenda-o-pl-antifaccao-sancionado-por-lula.html</t>
        </is>
      </c>
    </row>
    <row r="434">
      <c r="A434" s="15" t="inlineStr">
        <is>
          <t>PF23</t>
        </is>
      </c>
      <c r="B434" s="15" t="inlineStr">
        <is>
          <t>Flávio</t>
        </is>
      </c>
      <c r="C434" s="15" t="inlineStr">
        <is>
          <t>Revisor</t>
        </is>
      </c>
      <c r="D434" s="15" t="inlineStr">
        <is>
          <t>https://www.metropoles.com/brasil/camara-aprova-pl-antifaccao</t>
        </is>
      </c>
    </row>
    <row r="435">
      <c r="A435" s="15" t="inlineStr">
        <is>
          <t>PF23</t>
        </is>
      </c>
      <c r="B435" s="15" t="inlineStr">
        <is>
          <t>Flávio</t>
        </is>
      </c>
      <c r="C435" s="15" t="inlineStr">
        <is>
          <t>Revisor</t>
        </is>
      </c>
      <c r="D435" s="15" t="inlineStr">
        <is>
          <t>https://www.infomoney.com.br/politica/flavio-propoe-castracao-quimica-reducao-de-maioridade-penal-e-mudanca-em-presidios/</t>
        </is>
      </c>
    </row>
    <row r="436">
      <c r="A436" s="15" t="inlineStr">
        <is>
          <t>PF23</t>
        </is>
      </c>
      <c r="B436" s="15" t="inlineStr">
        <is>
          <t>Flávio</t>
        </is>
      </c>
      <c r="C436" s="15" t="inlineStr">
        <is>
          <t>Análise inicial</t>
        </is>
      </c>
      <c r="D436" s="15" t="inlineStr">
        <is>
          <t>https://www.band.com.br/radio-bandeirantes/noticias/luiz-inacio-lula-da-silva-sanciona-pl-antifaccao-com-vetos-e-amplia-combate-ao-crime-organizado-202603251111</t>
        </is>
      </c>
    </row>
    <row r="437">
      <c r="A437" s="15" t="inlineStr">
        <is>
          <t>PF24</t>
        </is>
      </c>
      <c r="B437" s="15" t="inlineStr">
        <is>
          <t>Flávio</t>
        </is>
      </c>
      <c r="C437" s="15" t="inlineStr">
        <is>
          <t>Revisor</t>
        </is>
      </c>
      <c r="D437" s="15" t="inlineStr">
        <is>
          <t>https://www.infomoney.com.br/politica/flavio-propoe-castracao-quimica-reducao-de-maioridade-penal-e-mudanca-em-presidios/</t>
        </is>
      </c>
    </row>
    <row r="438">
      <c r="A438" s="15" t="inlineStr">
        <is>
          <t>PF24</t>
        </is>
      </c>
      <c r="B438" s="15" t="inlineStr">
        <is>
          <t>Flávio</t>
        </is>
      </c>
      <c r="C438" s="15" t="inlineStr">
        <is>
          <t>Revisor</t>
        </is>
      </c>
      <c r="D438" s="15" t="inlineStr">
        <is>
          <t>https://www.planalto.gov.br/ccivil_03/decreto-lei/del2848compilado.htm</t>
        </is>
      </c>
    </row>
    <row r="439">
      <c r="A439" s="15" t="inlineStr">
        <is>
          <t>PF24</t>
        </is>
      </c>
      <c r="B439" s="15" t="inlineStr">
        <is>
          <t>Flávio</t>
        </is>
      </c>
      <c r="C439" s="15" t="inlineStr">
        <is>
          <t>Revisor</t>
        </is>
      </c>
      <c r="D439" s="15" t="inlineStr">
        <is>
          <t>https://www.planalto.gov.br/ccivil_03/leis/l7210.htm</t>
        </is>
      </c>
    </row>
    <row r="440">
      <c r="A440" s="15" t="inlineStr">
        <is>
          <t>PF25</t>
        </is>
      </c>
      <c r="B440" s="15" t="inlineStr">
        <is>
          <t>Flávio</t>
        </is>
      </c>
      <c r="C440" s="15" t="inlineStr">
        <is>
          <t>Revisor</t>
        </is>
      </c>
      <c r="D440" s="15" t="inlineStr">
        <is>
          <t>https://exame.com/brasil/ccj-da-camara-aprova-reducao-da-maioridade-penal-para-16-anos/</t>
        </is>
      </c>
    </row>
    <row r="441">
      <c r="A441" s="15" t="inlineStr">
        <is>
          <t>PF25</t>
        </is>
      </c>
      <c r="B441" s="15" t="inlineStr">
        <is>
          <t>Flávio</t>
        </is>
      </c>
      <c r="C441" s="15" t="inlineStr">
        <is>
          <t>Revisor</t>
        </is>
      </c>
      <c r="D441" s="15" t="inlineStr">
        <is>
          <t>https://www.infomoney.com.br/politica/flavio-propoe-castracao-quimica-reducao-de-maioridade-penal-e-mudanca-em-presidios/</t>
        </is>
      </c>
    </row>
    <row r="442">
      <c r="A442" s="15" t="inlineStr">
        <is>
          <t>PF25</t>
        </is>
      </c>
      <c r="B442" s="15" t="inlineStr">
        <is>
          <t>Flávio</t>
        </is>
      </c>
      <c r="C442" s="15" t="inlineStr">
        <is>
          <t>Revisor</t>
        </is>
      </c>
      <c r="D442" s="15" t="inlineStr">
        <is>
          <t>https://www25.senado.leg.br/web/atividade/materias/-/materia/135977/pdf</t>
        </is>
      </c>
    </row>
    <row r="443">
      <c r="A443" s="15" t="inlineStr">
        <is>
          <t>PF25</t>
        </is>
      </c>
      <c r="B443" s="15" t="inlineStr">
        <is>
          <t>Flávio</t>
        </is>
      </c>
      <c r="C443" s="15" t="inlineStr">
        <is>
          <t>Revisor</t>
        </is>
      </c>
      <c r="D443" s="15" t="inlineStr">
        <is>
          <t>https://www.band.com.br/politica/noticias/ccj-da-camara-deve-votar-a-proposta-de-reducao-da-maioridade-penal-202605191325</t>
        </is>
      </c>
    </row>
    <row r="444">
      <c r="A444" s="15" t="inlineStr">
        <is>
          <t>PF26</t>
        </is>
      </c>
      <c r="B444" s="15" t="inlineStr">
        <is>
          <t>Flávio</t>
        </is>
      </c>
      <c r="C444" s="15" t="inlineStr">
        <is>
          <t>Revisor</t>
        </is>
      </c>
      <c r="D444" s="15" t="inlineStr">
        <is>
          <t>https://www.diariodepernambuco.com.br/brasil/2026/03/11710307-senado-aprova-uso-imediato-de-tornozeleira-por-agressor-de-mulher.html</t>
        </is>
      </c>
    </row>
    <row r="445">
      <c r="A445" s="15" t="inlineStr">
        <is>
          <t>PF26</t>
        </is>
      </c>
      <c r="B445" s="15" t="inlineStr">
        <is>
          <t>Flávio</t>
        </is>
      </c>
      <c r="C445" s="15" t="inlineStr">
        <is>
          <t>Revisor</t>
        </is>
      </c>
      <c r="D445" s="15" t="inlineStr">
        <is>
          <t>https://www.migalhas.com.br/quentes/427156/senado-aprova-tornozeleira-eletronica-para-agressores-de-mulheres</t>
        </is>
      </c>
    </row>
    <row r="446">
      <c r="A446" s="15" t="inlineStr">
        <is>
          <t>PF26</t>
        </is>
      </c>
      <c r="B446" s="15" t="inlineStr">
        <is>
          <t>Flávio</t>
        </is>
      </c>
      <c r="C446" s="15" t="inlineStr">
        <is>
          <t>Revisor</t>
        </is>
      </c>
      <c r="D446" s="15" t="inlineStr">
        <is>
          <t>https://www.bemparana.com.br/noticias/politica/senado-obriga-uso-de-tornozeleira-por-agressor-de-mulheres-e-projeto-vai-a-sancao-de-lula/amp/</t>
        </is>
      </c>
    </row>
    <row r="447">
      <c r="A447" s="15" t="inlineStr">
        <is>
          <t>PF27</t>
        </is>
      </c>
      <c r="B447" s="15" t="inlineStr">
        <is>
          <t>Flávio</t>
        </is>
      </c>
      <c r="C447" s="15" t="inlineStr">
        <is>
          <t>Revisor</t>
        </is>
      </c>
      <c r="D447" s="15" t="inlineStr">
        <is>
          <t>https://www.infomoney.com.br/politica/flavio-acena-ao-agro-defende-marco-temporal-e-exploracao-em-terras-indigenas/</t>
        </is>
      </c>
    </row>
    <row r="448">
      <c r="A448" s="15" t="inlineStr">
        <is>
          <t>PF27</t>
        </is>
      </c>
      <c r="B448" s="15" t="inlineStr">
        <is>
          <t>Flávio</t>
        </is>
      </c>
      <c r="C448" s="15" t="inlineStr">
        <is>
          <t>Revisor</t>
        </is>
      </c>
      <c r="D448" s="15" t="inlineStr">
        <is>
          <t>https://www.congressoemfoco.com.br/noticia/121097/flavio-diz-que-indigenas-nao-querem-ser-mais-um-animal-de-zoologico</t>
        </is>
      </c>
    </row>
    <row r="449">
      <c r="A449" s="15" t="inlineStr">
        <is>
          <t>PF27</t>
        </is>
      </c>
      <c r="B449" s="15" t="inlineStr">
        <is>
          <t>Flávio</t>
        </is>
      </c>
      <c r="C449" s="15" t="inlineStr">
        <is>
          <t>Revisor</t>
        </is>
      </c>
      <c r="D449" s="15" t="inlineStr">
        <is>
          <t>https://www.camara.leg.br/noticias/949978-governo-retira-de-tramitacao-projeto-que-regula-mineracao-em-terra-indigena/</t>
        </is>
      </c>
    </row>
    <row r="450">
      <c r="A450" s="15" t="inlineStr">
        <is>
          <t>PF27</t>
        </is>
      </c>
      <c r="B450" s="15" t="inlineStr">
        <is>
          <t>Flávio</t>
        </is>
      </c>
      <c r="C450" s="15" t="inlineStr">
        <is>
          <t>Revisor</t>
        </is>
      </c>
      <c r="D450" s="15" t="inlineStr">
        <is>
          <t>https://www.camara.leg.br/propostas-legislativas/2236765</t>
        </is>
      </c>
    </row>
    <row r="451">
      <c r="A451" s="15" t="inlineStr">
        <is>
          <t>PF27</t>
        </is>
      </c>
      <c r="B451" s="15" t="inlineStr">
        <is>
          <t>Flávio</t>
        </is>
      </c>
      <c r="C451" s="15" t="inlineStr">
        <is>
          <t>Revisor</t>
        </is>
      </c>
      <c r="D451" s="15" t="inlineStr">
        <is>
          <t>https://exame.com/brasil/lula-pede-ao-congresso-retirada-do-pl-de-bolsonaro-que-libera-garimpo-em-terra-indigena/</t>
        </is>
      </c>
    </row>
    <row r="452">
      <c r="A452" s="15" t="inlineStr">
        <is>
          <t>PF27</t>
        </is>
      </c>
      <c r="B452" s="15" t="inlineStr">
        <is>
          <t>Flávio</t>
        </is>
      </c>
      <c r="C452" s="15" t="inlineStr">
        <is>
          <t>Análise inicial</t>
        </is>
      </c>
      <c r="D452" s="15" t="inlineStr">
        <is>
          <t>https://www.gov.br/funai/pt-br/assuntos/noticias/2023/governo-lula-pede-retirada-de-projeto-de-lei-que-preve-mineracao-em-terras-indigenas</t>
        </is>
      </c>
    </row>
    <row r="453">
      <c r="A453" s="15" t="inlineStr">
        <is>
          <t>PL01</t>
        </is>
      </c>
      <c r="B453" s="15" t="inlineStr">
        <is>
          <t>Lula</t>
        </is>
      </c>
      <c r="C453" s="15" t="inlineStr">
        <is>
          <t>Revisor</t>
        </is>
      </c>
      <c r="D453" s="15" t="inlineStr">
        <is>
          <t>https://www1.siop.planejamento.gov.br/siopdoc/lib/exe/fetch.php/ploa:abertura_ploa-2027_quanti_externa_final.pdf</t>
        </is>
      </c>
    </row>
    <row r="454">
      <c r="A454" s="15" t="inlineStr">
        <is>
          <t>PL01</t>
        </is>
      </c>
      <c r="B454" s="15" t="inlineStr">
        <is>
          <t>Lula</t>
        </is>
      </c>
      <c r="C454" s="15" t="inlineStr">
        <is>
          <t>Revisor</t>
        </is>
      </c>
      <c r="D454" s="15" t="inlineStr">
        <is>
          <t>https://www.infomoney.com.br/?p=2213754</t>
        </is>
      </c>
    </row>
    <row r="455">
      <c r="A455" s="15" t="inlineStr">
        <is>
          <t>PL01</t>
        </is>
      </c>
      <c r="B455" s="15" t="inlineStr">
        <is>
          <t>Lula</t>
        </is>
      </c>
      <c r="C455" s="15" t="inlineStr">
        <is>
          <t>Revisor</t>
        </is>
      </c>
      <c r="D455" s="15" t="inlineStr">
        <is>
          <t>https://poder360.com.br/poder-economia/orcamento-governo-estima-salario-minimo-de-r-1-741-em-2027/</t>
        </is>
      </c>
    </row>
    <row r="456">
      <c r="A456" s="15" t="inlineStr">
        <is>
          <t>PL01</t>
        </is>
      </c>
      <c r="B456" s="15" t="inlineStr">
        <is>
          <t>Lula</t>
        </is>
      </c>
      <c r="C456" s="15" t="inlineStr">
        <is>
          <t>Revisor</t>
        </is>
      </c>
      <c r="D456" s="15" t="inlineStr">
        <is>
          <t>https://clickpetroleoegas.com.br/ploa-2027-novo-pac-rodovias-ferrovias-portos-rss94/</t>
        </is>
      </c>
    </row>
    <row r="457">
      <c r="A457" s="15" t="inlineStr">
        <is>
          <t>PL01</t>
        </is>
      </c>
      <c r="B457" s="15" t="inlineStr">
        <is>
          <t>Lula</t>
        </is>
      </c>
      <c r="C457" s="15" t="inlineStr">
        <is>
          <t>Revisor</t>
        </is>
      </c>
      <c r="D457" s="15" t="inlineStr">
        <is>
          <t>https://brasilagro.com.br/conteudo/fundo-amazonia-para-obra-em-rodovia-que-corta-floresta.html</t>
        </is>
      </c>
    </row>
    <row r="458">
      <c r="A458" s="15" t="inlineStr">
        <is>
          <t>PL01</t>
        </is>
      </c>
      <c r="B458" s="15" t="inlineStr">
        <is>
          <t>Lula</t>
        </is>
      </c>
      <c r="C458" s="15" t="inlineStr">
        <is>
          <t>Revisor</t>
        </is>
      </c>
      <c r="D458" s="15" t="inlineStr">
        <is>
          <t>https://revistacenarium.com.br/nova-decisao-judicial-destrava-licenciamento-do-trecho-do-meio-da-br-319/</t>
        </is>
      </c>
    </row>
    <row r="459">
      <c r="A459" s="15" t="inlineStr">
        <is>
          <t>PL01</t>
        </is>
      </c>
      <c r="B459" s="15" t="inlineStr">
        <is>
          <t>Lula</t>
        </is>
      </c>
      <c r="C459" s="15" t="inlineStr">
        <is>
          <t>Revisor</t>
        </is>
      </c>
      <c r="D459" s="15" t="inlineStr">
        <is>
          <t>https://emtempo.com.br/465072/amazonas/ibama-licenca-pontes-trecho-meio-br319/</t>
        </is>
      </c>
    </row>
    <row r="460">
      <c r="A460" s="15" t="inlineStr">
        <is>
          <t>PL01</t>
        </is>
      </c>
      <c r="B460" s="15" t="inlineStr">
        <is>
          <t>Lula</t>
        </is>
      </c>
      <c r="C460" s="15" t="inlineStr">
        <is>
          <t>Revisor</t>
        </is>
      </c>
      <c r="D460" s="15" t="inlineStr">
        <is>
          <t>https://tribunadosmunicipios.com.br/corredor-leste-oeste-com-fiol-e-fico-tem-leilao-previsto-para-agosto-de-2026/</t>
        </is>
      </c>
    </row>
    <row r="461">
      <c r="A461" s="15" t="inlineStr">
        <is>
          <t>PL01</t>
        </is>
      </c>
      <c r="B461" s="15" t="inlineStr">
        <is>
          <t>Lula</t>
        </is>
      </c>
      <c r="C461" s="15" t="inlineStr">
        <is>
          <t>Revisor</t>
        </is>
      </c>
      <c r="D461" s="15" t="inlineStr">
        <is>
          <t>https://www.bahianoticias.com.br/municipios/noticia/37434-jeronimo-reafirma-desejo-de-entregar-trecho-da-fiol-em-2026-mas-considera-lento-andamento-de-obra</t>
        </is>
      </c>
    </row>
    <row r="462">
      <c r="A462" s="15" t="inlineStr">
        <is>
          <t>PL02</t>
        </is>
      </c>
      <c r="B462" s="15" t="inlineStr">
        <is>
          <t>Lula</t>
        </is>
      </c>
      <c r="C462" s="15" t="inlineStr">
        <is>
          <t>Revisor</t>
        </is>
      </c>
      <c r="D462" s="15" t="inlineStr">
        <is>
          <t>https://poder360.com.br/poder-economia/orcamento-governo-estima-salario-minimo-de-r-1-741-em-2027/</t>
        </is>
      </c>
    </row>
    <row r="463">
      <c r="A463" s="15" t="inlineStr">
        <is>
          <t>PL02</t>
        </is>
      </c>
      <c r="B463" s="15" t="inlineStr">
        <is>
          <t>Lula</t>
        </is>
      </c>
      <c r="C463" s="15" t="inlineStr">
        <is>
          <t>Revisor</t>
        </is>
      </c>
      <c r="D463" s="15" t="inlineStr">
        <is>
          <t>https://www.dgabc.com.br/Noticia/4343075/salario-minimo-devera-subir-para-r$-1-741-em-2027</t>
        </is>
      </c>
    </row>
    <row r="464">
      <c r="A464" s="15" t="inlineStr">
        <is>
          <t>PL02</t>
        </is>
      </c>
      <c r="B464" s="15" t="inlineStr">
        <is>
          <t>Lula</t>
        </is>
      </c>
      <c r="C464" s="15" t="inlineStr">
        <is>
          <t>Revisor</t>
        </is>
      </c>
      <c r="D464" s="15" t="inlineStr">
        <is>
          <t>https://www.jb.com.br/editorias/2026/10/05/salario-minimo-2027.html</t>
        </is>
      </c>
    </row>
    <row r="465">
      <c r="A465" s="15" t="inlineStr">
        <is>
          <t>PL02</t>
        </is>
      </c>
      <c r="B465" s="15" t="inlineStr">
        <is>
          <t>Lula</t>
        </is>
      </c>
      <c r="C465" s="15" t="inlineStr">
        <is>
          <t>Análise inicial</t>
        </is>
      </c>
      <c r="D465" s="15" t="inlineStr">
        <is>
          <t>https://movimentoeconomico.com.br/economia/2026/08/25/salario-minimo-de-2027-tem-projecao-de-r-1-741-com-alta-de-74/</t>
        </is>
      </c>
    </row>
    <row r="466">
      <c r="A466" s="15" t="inlineStr">
        <is>
          <t>PL03</t>
        </is>
      </c>
      <c r="B466" s="15" t="inlineStr">
        <is>
          <t>Lula</t>
        </is>
      </c>
      <c r="C466" s="15" t="inlineStr">
        <is>
          <t>Revisor</t>
        </is>
      </c>
      <c r="D466" s="15" t="inlineStr">
        <is>
          <t>https://www.poder360.com.br/poder-governo/lula-envia-pec-para-transporte-gratuito-ao-congresso/</t>
        </is>
      </c>
    </row>
    <row r="467">
      <c r="A467" s="15" t="inlineStr">
        <is>
          <t>PL03</t>
        </is>
      </c>
      <c r="B467" s="15" t="inlineStr">
        <is>
          <t>Lula</t>
        </is>
      </c>
      <c r="C467" s="15" t="inlineStr">
        <is>
          <t>Revisor</t>
        </is>
      </c>
      <c r="D467" s="15" t="inlineStr">
        <is>
          <t>https://www.congressoemfoco.com.br/noticia/123316/lula-propoe-usar-emendas-para-financiar-tarifa-zero-aos-fins-de-semana</t>
        </is>
      </c>
    </row>
    <row r="468">
      <c r="A468" s="15" t="inlineStr">
        <is>
          <t>PL03</t>
        </is>
      </c>
      <c r="B468" s="15" t="inlineStr">
        <is>
          <t>Lula</t>
        </is>
      </c>
      <c r="C468" s="15" t="inlineStr">
        <is>
          <t>Revisor</t>
        </is>
      </c>
      <c r="D468" s="15" t="inlineStr">
        <is>
          <t>https://www.dgabc.com.br/Noticia/4354042/tarifa-zero-governo-preve-r$-12-bi-mas-setor-estima-r$-20-8-bi</t>
        </is>
      </c>
    </row>
    <row r="469">
      <c r="A469" s="15" t="inlineStr">
        <is>
          <t>PL03</t>
        </is>
      </c>
      <c r="B469" s="15" t="inlineStr">
        <is>
          <t>Lula</t>
        </is>
      </c>
      <c r="C469" s="15" t="inlineStr">
        <is>
          <t>Revisor</t>
        </is>
      </c>
      <c r="D469" s="15" t="inlineStr">
        <is>
          <t>https://diariodotransporte.com.br/2026/10/19/tarifa-zero-aos-fins-de-semana-e-bom-mas-e-necessario-reduzir-a-passagem-nos-dias-uteis-diz-ntu-custo-de-r-20-bi-por-ano-com-promessa-de-lula/amp/</t>
        </is>
      </c>
    </row>
    <row r="470">
      <c r="A470" s="15" t="inlineStr">
        <is>
          <t>PL03</t>
        </is>
      </c>
      <c r="B470" s="15" t="inlineStr">
        <is>
          <t>Lula</t>
        </is>
      </c>
      <c r="C470" s="15" t="inlineStr">
        <is>
          <t>Revisor</t>
        </is>
      </c>
      <c r="D470" s="15" t="inlineStr">
        <is>
          <t>https://mais.opovo.com.br/jornal/economia/2026/10/20/tarifa-zero-no-transporte-aos-fins-de-semana-deve-custar-rs-208-bi-por-ano-diz-ntu.html</t>
        </is>
      </c>
    </row>
    <row r="471">
      <c r="A471" s="15" t="inlineStr">
        <is>
          <t>PL03</t>
        </is>
      </c>
      <c r="B471" s="15" t="inlineStr">
        <is>
          <t>Lula</t>
        </is>
      </c>
      <c r="C471" s="15" t="inlineStr">
        <is>
          <t>Análise inicial</t>
        </is>
      </c>
      <c r="D471" s="15" t="inlineStr">
        <is>
          <t>https://www.diariodepernambuco.com.br/politica/2026/10/11727066-lula-sobre-emendas-para-tarifa-zero-vai-ser-briguinha-com-congresso-faz-parte-da-democracia.html</t>
        </is>
      </c>
    </row>
    <row r="472">
      <c r="A472" s="15" t="inlineStr">
        <is>
          <t>PL04</t>
        </is>
      </c>
      <c r="B472" s="15" t="inlineStr">
        <is>
          <t>Lula</t>
        </is>
      </c>
      <c r="C472" s="15" t="inlineStr">
        <is>
          <t>Revisor</t>
        </is>
      </c>
      <c r="D472" s="15" t="inlineStr">
        <is>
          <t>https://dol.com.br/noticias/brasil/965565/fim-da-escala-6x1-veja-como-votaram-os-senadores</t>
        </is>
      </c>
    </row>
    <row r="473">
      <c r="A473" s="15" t="inlineStr">
        <is>
          <t>PL04</t>
        </is>
      </c>
      <c r="B473" s="15" t="inlineStr">
        <is>
          <t>Lula</t>
        </is>
      </c>
      <c r="C473" s="15" t="inlineStr">
        <is>
          <t>Revisor</t>
        </is>
      </c>
      <c r="D473" s="15" t="inlineStr">
        <is>
          <t>https://www.folhavitoria.com.br/politica/senado-aprova-o-fim-da-escala-6x1/</t>
        </is>
      </c>
    </row>
    <row r="474">
      <c r="A474" s="15" t="inlineStr">
        <is>
          <t>PL04</t>
        </is>
      </c>
      <c r="B474" s="15" t="inlineStr">
        <is>
          <t>Lula</t>
        </is>
      </c>
      <c r="C474" s="15" t="inlineStr">
        <is>
          <t>Revisor</t>
        </is>
      </c>
      <c r="D474" s="15" t="inlineStr">
        <is>
          <t>https://www.diariodepernambuco.com.br/politica/2026/09/11722955-senado-oposicao-obstrui-e-fim-da-escala-6x1-nao-vai-a-plenario.html</t>
        </is>
      </c>
    </row>
    <row r="475">
      <c r="A475" s="15" t="inlineStr">
        <is>
          <t>PL04</t>
        </is>
      </c>
      <c r="B475" s="15" t="inlineStr">
        <is>
          <t>Lula</t>
        </is>
      </c>
      <c r="C475" s="15" t="inlineStr">
        <is>
          <t>Revisor</t>
        </is>
      </c>
      <c r="D475" s="15" t="inlineStr">
        <is>
          <t>https://www.poder360.com.br/poder-congresso/motta-quer-votacao-da-pec-do-fim-da-escala-6-x-1-no-plenario-ate-julho/</t>
        </is>
      </c>
    </row>
    <row r="476">
      <c r="A476" s="15" t="inlineStr">
        <is>
          <t>PL04</t>
        </is>
      </c>
      <c r="B476" s="15" t="inlineStr">
        <is>
          <t>Lula</t>
        </is>
      </c>
      <c r="C476" s="15" t="inlineStr">
        <is>
          <t>Análise inicial</t>
        </is>
      </c>
      <c r="D476" s="15" t="inlineStr">
        <is>
          <t>https://mais.opovo.com.br/jornal/economia/2026/05/27/apoio-do-centrao-e-manobra-do-pl-os-bastidores-da-votacao-da-pec-6x1.html</t>
        </is>
      </c>
    </row>
    <row r="477">
      <c r="A477" s="15" t="inlineStr">
        <is>
          <t>PL04</t>
        </is>
      </c>
      <c r="B477" s="15" t="inlineStr">
        <is>
          <t>Lula</t>
        </is>
      </c>
      <c r="C477" s="15" t="inlineStr">
        <is>
          <t>Análise inicial</t>
        </is>
      </c>
      <c r="D477" s="15" t="inlineStr">
        <is>
          <t>https://monitormercantil.com.br/aprovacao-do-fim-da-6x1-na-camara-joga-pressao-sobre-senado-e-bolsonaristas/</t>
        </is>
      </c>
    </row>
    <row r="478">
      <c r="A478" s="15" t="inlineStr">
        <is>
          <t>PL05</t>
        </is>
      </c>
      <c r="B478" s="15" t="inlineStr">
        <is>
          <t>Lula</t>
        </is>
      </c>
      <c r="C478" s="15" t="inlineStr">
        <is>
          <t>Revisor</t>
        </is>
      </c>
      <c r="D478" s="15" t="inlineStr">
        <is>
          <t>https://agenciagov.ebc.com.br/noticias/202601/ramal-do-apodi-avanca-para-a-reta-final-e-reforca-seguranca-hidrica-do-nordeste</t>
        </is>
      </c>
    </row>
    <row r="479">
      <c r="A479" s="15" t="inlineStr">
        <is>
          <t>PL05</t>
        </is>
      </c>
      <c r="B479" s="15" t="inlineStr">
        <is>
          <t>Lula</t>
        </is>
      </c>
      <c r="C479" s="15" t="inlineStr">
        <is>
          <t>Revisor</t>
        </is>
      </c>
      <c r="D479" s="15" t="inlineStr">
        <is>
          <t>https://movimentoeconomico.com.br/tag/ramal-do-apodi/</t>
        </is>
      </c>
    </row>
    <row r="480">
      <c r="A480" s="15" t="inlineStr">
        <is>
          <t>PL05</t>
        </is>
      </c>
      <c r="B480" s="15" t="inlineStr">
        <is>
          <t>Lula</t>
        </is>
      </c>
      <c r="C480" s="15" t="inlineStr">
        <is>
          <t>Revisor</t>
        </is>
      </c>
      <c r="D480" s="15" t="inlineStr">
        <is>
          <t>https://www.gov.br/mdr/pt-br/assuntos/seguranca-hidrica/projeto-sao-francisco</t>
        </is>
      </c>
    </row>
    <row r="481">
      <c r="A481" s="15" t="inlineStr">
        <is>
          <t>PL05</t>
        </is>
      </c>
      <c r="B481" s="15" t="inlineStr">
        <is>
          <t>Lula</t>
        </is>
      </c>
      <c r="C481" s="15" t="inlineStr">
        <is>
          <t>Revisor</t>
        </is>
      </c>
      <c r="D481" s="15" t="inlineStr">
        <is>
          <t>https://agenciagov.ebc.com.br/noticias/202505/lula-entrega-1o-trecho-do-ramal-do-apodi-201cagua-para-o-meu-povo-do-sertao201d</t>
        </is>
      </c>
    </row>
    <row r="482">
      <c r="A482" s="15" t="inlineStr">
        <is>
          <t>PL05</t>
        </is>
      </c>
      <c r="B482" s="15" t="inlineStr">
        <is>
          <t>Lula</t>
        </is>
      </c>
      <c r="C482" s="15" t="inlineStr">
        <is>
          <t>Revisor</t>
        </is>
      </c>
      <c r="D482" s="15" t="inlineStr">
        <is>
          <t>https://www.poder360.com.br/poder-governo/ao-vivo-lula-participa-da-entrega-do-marco-1-do-ramal-do-apodi/</t>
        </is>
      </c>
    </row>
    <row r="483">
      <c r="A483" s="15" t="inlineStr">
        <is>
          <t>PL05</t>
        </is>
      </c>
      <c r="B483" s="15" t="inlineStr">
        <is>
          <t>Lula</t>
        </is>
      </c>
      <c r="C483" s="15" t="inlineStr">
        <is>
          <t>Revisor</t>
        </is>
      </c>
      <c r="D483" s="15" t="inlineStr">
        <is>
          <t>https://agenciabrasil.ebc.com.br/politica/noticia/2025-05/sao-francisco-lula-autoriza-duplicacao-de-bombeamento-do-eixo-norte</t>
        </is>
      </c>
    </row>
    <row r="484">
      <c r="A484" s="15" t="inlineStr">
        <is>
          <t>PL05</t>
        </is>
      </c>
      <c r="B484" s="15" t="inlineStr">
        <is>
          <t>Lula</t>
        </is>
      </c>
      <c r="C484" s="15" t="inlineStr">
        <is>
          <t>Análise inicial</t>
        </is>
      </c>
      <c r="D484" s="15" t="inlineStr">
        <is>
          <t>https://portaldeprefeitura.com.br/pernambuco/compesa/aguas-do-velho-chico-o-impacto-da-transposicao-no-agreste/591954/</t>
        </is>
      </c>
    </row>
    <row r="485">
      <c r="A485" s="15" t="inlineStr">
        <is>
          <t>PL05</t>
        </is>
      </c>
      <c r="B485" s="15" t="inlineStr">
        <is>
          <t>Lula</t>
        </is>
      </c>
      <c r="C485" s="15" t="inlineStr">
        <is>
          <t>Análise inicial</t>
        </is>
      </c>
      <c r="D485" s="15" t="inlineStr">
        <is>
          <t>https://movimentoeconomico.com.br/infraestrutura-2/2025/02/25/agu-fecha-55-acordos-de-desapropriacao-para-transposicao-no-ceara/</t>
        </is>
      </c>
    </row>
    <row r="486">
      <c r="A486" s="15" t="inlineStr">
        <is>
          <t>PL05</t>
        </is>
      </c>
      <c r="B486" s="15" t="inlineStr">
        <is>
          <t>Lula</t>
        </is>
      </c>
      <c r="C486" s="15" t="inlineStr">
        <is>
          <t>Análise inicial</t>
        </is>
      </c>
      <c r="D486" s="15" t="inlineStr">
        <is>
          <t>https://movimentoeconomico.com.br/abastecimento/2025/08/09/fatima-bezerra-transposicao-rn/</t>
        </is>
      </c>
    </row>
    <row r="487">
      <c r="A487" s="15" t="inlineStr">
        <is>
          <t>PL05</t>
        </is>
      </c>
      <c r="B487" s="15" t="inlineStr">
        <is>
          <t>Lula</t>
        </is>
      </c>
      <c r="C487" s="15" t="inlineStr">
        <is>
          <t>Análise inicial</t>
        </is>
      </c>
      <c r="D487" s="15" t="inlineStr">
        <is>
          <t>https://static.poder360.com.br/2022/02/nota-mdr-rio-sao-francisco.pdf</t>
        </is>
      </c>
    </row>
    <row r="488">
      <c r="A488" s="15" t="inlineStr">
        <is>
          <t>PL06</t>
        </is>
      </c>
      <c r="B488" s="15" t="inlineStr">
        <is>
          <t>Lula</t>
        </is>
      </c>
      <c r="C488" s="15" t="inlineStr">
        <is>
          <t>Revisor</t>
        </is>
      </c>
      <c r="D488" s="15" t="inlineStr">
        <is>
          <t>https://agenciabrasil.ebc.com.br/economia/noticia/2026-09/governo-cria-terceira-fase-do-desenrola-com-compra-de-dividas-pela-uni</t>
        </is>
      </c>
    </row>
    <row r="489">
      <c r="A489" s="15" t="inlineStr">
        <is>
          <t>PL06</t>
        </is>
      </c>
      <c r="B489" s="15" t="inlineStr">
        <is>
          <t>Lula</t>
        </is>
      </c>
      <c r="C489" s="15" t="inlineStr">
        <is>
          <t>Revisor</t>
        </is>
      </c>
      <c r="D489" s="15" t="inlineStr">
        <is>
          <t>https://agenciabrasil.ebc.com.br/economia/noticia/2026-10/portaria-convoca-instituicoes-financeiras-para-3a-fase-do-desenrola</t>
        </is>
      </c>
    </row>
    <row r="490">
      <c r="A490" s="15" t="inlineStr">
        <is>
          <t>PL06</t>
        </is>
      </c>
      <c r="B490" s="15" t="inlineStr">
        <is>
          <t>Lula</t>
        </is>
      </c>
      <c r="C490" s="15" t="inlineStr">
        <is>
          <t>Revisor</t>
        </is>
      </c>
      <c r="D490" s="15" t="inlineStr">
        <is>
          <t>https://agenciabrasil.ebc.com.br/economia/noticia/2026-10/ministro-preve-renegociacao-de-r-90-bi-em-3a-fase-do-desenrola</t>
        </is>
      </c>
    </row>
    <row r="491">
      <c r="A491" s="15" t="inlineStr">
        <is>
          <t>PL06</t>
        </is>
      </c>
      <c r="B491" s="15" t="inlineStr">
        <is>
          <t>Lula</t>
        </is>
      </c>
      <c r="C491" s="15" t="inlineStr">
        <is>
          <t>Análise inicial</t>
        </is>
      </c>
      <c r="D491" s="15" t="inlineStr">
        <is>
          <t>https://agenciabrasil.ebc.com.br/economia/noticia/2026-05/novo-desenrola-comeca-valer-nesta-terca-feira</t>
        </is>
      </c>
    </row>
    <row r="492">
      <c r="A492" s="15" t="inlineStr">
        <is>
          <t>PL06</t>
        </is>
      </c>
      <c r="B492" s="15" t="inlineStr">
        <is>
          <t>Lula</t>
        </is>
      </c>
      <c r="C492" s="15" t="inlineStr">
        <is>
          <t>Análise inicial</t>
        </is>
      </c>
      <c r="D492" s="15" t="inlineStr">
        <is>
          <t>https://agenciabrasil.ebc.com.br/tags/desenrola</t>
        </is>
      </c>
    </row>
    <row r="493">
      <c r="A493" s="15" t="inlineStr">
        <is>
          <t>PL07</t>
        </is>
      </c>
      <c r="B493" s="15" t="inlineStr">
        <is>
          <t>Lula</t>
        </is>
      </c>
      <c r="C493" s="15" t="inlineStr">
        <is>
          <t>Revisor</t>
        </is>
      </c>
      <c r="D493" s="15" t="inlineStr">
        <is>
          <t>https://www12.senado.leg.br/ifi</t>
        </is>
      </c>
    </row>
    <row r="494">
      <c r="A494" s="15" t="inlineStr">
        <is>
          <t>PL08</t>
        </is>
      </c>
      <c r="B494" s="15" t="inlineStr">
        <is>
          <t>Lula</t>
        </is>
      </c>
      <c r="C494" s="15" t="inlineStr">
        <is>
          <t>Revisor</t>
        </is>
      </c>
      <c r="D494" s="15" t="inlineStr">
        <is>
          <t>https://www12.senado.leg.br/ifi</t>
        </is>
      </c>
    </row>
    <row r="495">
      <c r="A495" s="15" t="inlineStr">
        <is>
          <t>PL09</t>
        </is>
      </c>
      <c r="B495" s="15" t="inlineStr">
        <is>
          <t>Lula</t>
        </is>
      </c>
      <c r="C495" s="15" t="inlineStr">
        <is>
          <t>Revisor</t>
        </is>
      </c>
      <c r="D495" s="15" t="inlineStr">
        <is>
          <t>https://www.planalto.gov.br/ccivil_03/_ato2023-2026/2023/lei/L14640.htm</t>
        </is>
      </c>
    </row>
    <row r="496">
      <c r="A496" s="15" t="inlineStr">
        <is>
          <t>PL09</t>
        </is>
      </c>
      <c r="B496" s="15" t="inlineStr">
        <is>
          <t>Lula</t>
        </is>
      </c>
      <c r="C496" s="15" t="inlineStr">
        <is>
          <t>Revisor</t>
        </is>
      </c>
      <c r="D496" s="15" t="inlineStr">
        <is>
          <t>https://www.planalto.gov.br/ccivil_03/leis/lcp/lcp200.htm</t>
        </is>
      </c>
    </row>
    <row r="497">
      <c r="A497" s="15" t="inlineStr">
        <is>
          <t>PL09</t>
        </is>
      </c>
      <c r="B497" s="15" t="inlineStr">
        <is>
          <t>Lula</t>
        </is>
      </c>
      <c r="C497" s="15" t="inlineStr">
        <is>
          <t>Revisor</t>
        </is>
      </c>
      <c r="D497" s="15" t="inlineStr">
        <is>
          <t>https://www.gov.br/inep/pt-br/areas-de-atuacao/pesquisas-estatisticas-e-indicadores/censo-escolar</t>
        </is>
      </c>
    </row>
    <row r="498">
      <c r="A498" s="15" t="inlineStr">
        <is>
          <t>PL09</t>
        </is>
      </c>
      <c r="B498" s="15" t="inlineStr">
        <is>
          <t>Lula</t>
        </is>
      </c>
      <c r="C498" s="15" t="inlineStr">
        <is>
          <t>Revisor</t>
        </is>
      </c>
      <c r="D498" s="15" t="inlineStr">
        <is>
          <t>https://www.gov.br/mec/pt-br/escola-em-tempo-integral</t>
        </is>
      </c>
    </row>
    <row r="499">
      <c r="A499" s="15" t="inlineStr">
        <is>
          <t>PL10</t>
        </is>
      </c>
      <c r="B499" s="15" t="inlineStr">
        <is>
          <t>Lula</t>
        </is>
      </c>
      <c r="C499" s="15" t="inlineStr">
        <is>
          <t>Revisor</t>
        </is>
      </c>
      <c r="D499" s="15" t="inlineStr">
        <is>
          <t>https://www.planalto.gov.br/ccivil_03/_ato2023-2026/2024/lei/L14818.htm</t>
        </is>
      </c>
    </row>
    <row r="500">
      <c r="A500" s="15" t="inlineStr">
        <is>
          <t>PL10</t>
        </is>
      </c>
      <c r="B500" s="15" t="inlineStr">
        <is>
          <t>Lula</t>
        </is>
      </c>
      <c r="C500" s="15" t="inlineStr">
        <is>
          <t>Revisor</t>
        </is>
      </c>
      <c r="D500" s="15" t="inlineStr">
        <is>
          <t>https://www.gov.br/mec/pt-br/pe-de-meia</t>
        </is>
      </c>
    </row>
    <row r="501">
      <c r="A501" s="15" t="inlineStr">
        <is>
          <t>PL10</t>
        </is>
      </c>
      <c r="B501" s="15" t="inlineStr">
        <is>
          <t>Lula</t>
        </is>
      </c>
      <c r="C501" s="15" t="inlineStr">
        <is>
          <t>Revisor</t>
        </is>
      </c>
      <c r="D501" s="15" t="inlineStr">
        <is>
          <t>https://agenciabrasil.ebc.com.br/educacao</t>
        </is>
      </c>
    </row>
    <row r="502">
      <c r="A502" s="15" t="inlineStr">
        <is>
          <t>PL10</t>
        </is>
      </c>
      <c r="B502" s="15" t="inlineStr">
        <is>
          <t>Lula</t>
        </is>
      </c>
      <c r="C502" s="15" t="inlineStr">
        <is>
          <t>Revisor</t>
        </is>
      </c>
      <c r="D502" s="15" t="inlineStr">
        <is>
          <t>https://portal.tcu.gov.br/</t>
        </is>
      </c>
    </row>
    <row r="503">
      <c r="A503" s="15" t="inlineStr">
        <is>
          <t>PL11</t>
        </is>
      </c>
      <c r="B503" s="15" t="inlineStr">
        <is>
          <t>Lula</t>
        </is>
      </c>
      <c r="C503" s="15" t="inlineStr">
        <is>
          <t>Revisor</t>
        </is>
      </c>
      <c r="D503" s="15" t="inlineStr">
        <is>
          <t>https://www.diariodepernambuco.com.br/politica/2026/09/11725131-associacoes-de-bets-pedem-ao-stf-a-suspensao-da-mp-que-proibe-apostas-on-line.html</t>
        </is>
      </c>
    </row>
    <row r="504">
      <c r="A504" s="15" t="inlineStr">
        <is>
          <t>PL11</t>
        </is>
      </c>
      <c r="B504" s="15" t="inlineStr">
        <is>
          <t>Lula</t>
        </is>
      </c>
      <c r="C504" s="15" t="inlineStr">
        <is>
          <t>Revisor</t>
        </is>
      </c>
      <c r="D504" s="15" t="inlineStr">
        <is>
          <t>https://www.congressoemfoco.com.br/noticia/122611/setor-de-apostas-pede-ao-stf-que-suspenda-mp-de-lula-contra-bets</t>
        </is>
      </c>
    </row>
    <row r="505">
      <c r="A505" s="15" t="inlineStr">
        <is>
          <t>PL11</t>
        </is>
      </c>
      <c r="B505" s="15" t="inlineStr">
        <is>
          <t>Lula</t>
        </is>
      </c>
      <c r="C505" s="15" t="inlineStr">
        <is>
          <t>Revisor</t>
        </is>
      </c>
      <c r="D505" s="15" t="inlineStr">
        <is>
          <t>https://diariodonordeste.verdesmares.com.br/negocios/entidades-de-bets-pedem-ao-stf-suspensao-de-medida-que-proibe-apostas-online-1.3794646</t>
        </is>
      </c>
    </row>
    <row r="506">
      <c r="A506" s="15" t="inlineStr">
        <is>
          <t>PL11</t>
        </is>
      </c>
      <c r="B506" s="15" t="inlineStr">
        <is>
          <t>Lula</t>
        </is>
      </c>
      <c r="C506" s="15" t="inlineStr">
        <is>
          <t>Revisor</t>
        </is>
      </c>
      <c r="D506" s="15" t="inlineStr">
        <is>
          <t>https://www.planalto.gov.br/ccivil_03/_ato2023-2026/2023/lei/l14790.htm</t>
        </is>
      </c>
    </row>
    <row r="507">
      <c r="A507" s="15" t="inlineStr">
        <is>
          <t>PL11</t>
        </is>
      </c>
      <c r="B507" s="15" t="inlineStr">
        <is>
          <t>Lula</t>
        </is>
      </c>
      <c r="C507" s="15" t="inlineStr">
        <is>
          <t>Revisor</t>
        </is>
      </c>
      <c r="D507" s="15" t="inlineStr">
        <is>
          <t>https://www.gov.br/fazenda/pt-br/composicao/orgaos/secretaria-de-premios-e-apostas</t>
        </is>
      </c>
    </row>
    <row r="508">
      <c r="A508" s="15" t="inlineStr">
        <is>
          <t>PL12</t>
        </is>
      </c>
      <c r="B508" s="15" t="inlineStr">
        <is>
          <t>Lula</t>
        </is>
      </c>
      <c r="C508" s="15" t="inlineStr">
        <is>
          <t>Revisor</t>
        </is>
      </c>
      <c r="D508" s="15" t="inlineStr">
        <is>
          <t>https://agenciabrasil.ebc.com.br/politica/noticia/2026-10/alcolumbre-retira-pec-da-seguranca-publica-da-pauta-do-senado</t>
        </is>
      </c>
    </row>
    <row r="509">
      <c r="A509" s="15" t="inlineStr">
        <is>
          <t>PL12</t>
        </is>
      </c>
      <c r="B509" s="15" t="inlineStr">
        <is>
          <t>Lula</t>
        </is>
      </c>
      <c r="C509" s="15" t="inlineStr">
        <is>
          <t>Revisor</t>
        </is>
      </c>
      <c r="D509" s="15" t="inlineStr">
        <is>
          <t>https://agenciabrasil.ebc.com.br/geral/noticia/2026-10/ccj-do-senado-conclui-votacao-da-pec-da-seguranca-publica</t>
        </is>
      </c>
    </row>
    <row r="510">
      <c r="A510" s="15" t="inlineStr">
        <is>
          <t>PL12</t>
        </is>
      </c>
      <c r="B510" s="15" t="inlineStr">
        <is>
          <t>Lula</t>
        </is>
      </c>
      <c r="C510" s="15" t="inlineStr">
        <is>
          <t>Análise inicial</t>
        </is>
      </c>
      <c r="D510" s="15" t="inlineStr">
        <is>
          <t>https://agenciabrasil.ebc.com.br/politica/noticia/2026-10/senadores-aprovam-pedido-para-acelerar-votacao-da-pec-da-seguranca</t>
        </is>
      </c>
    </row>
    <row r="511">
      <c r="A511" s="15" t="inlineStr">
        <is>
          <t>PL12</t>
        </is>
      </c>
      <c r="B511" s="15" t="inlineStr">
        <is>
          <t>Lula</t>
        </is>
      </c>
      <c r="C511" s="15" t="inlineStr">
        <is>
          <t>Análise inicial</t>
        </is>
      </c>
      <c r="D511" s="15" t="inlineStr">
        <is>
          <t>https://agenciabrasil.ebc.com.br/politica/noticia/2026-03/camara-aprova-em-segundo-turno-pec-da-seguranca-publica</t>
        </is>
      </c>
    </row>
    <row r="512">
      <c r="A512" s="15" t="inlineStr">
        <is>
          <t>PL12</t>
        </is>
      </c>
      <c r="B512" s="15" t="inlineStr">
        <is>
          <t>Lula</t>
        </is>
      </c>
      <c r="C512" s="15" t="inlineStr">
        <is>
          <t>Análise inicial</t>
        </is>
      </c>
      <c r="D512" s="15" t="inlineStr">
        <is>
          <t>https://agenciabrasil.ebc.com.br/geral/noticia/2025-10/aposta-do-governo-pec-da-seguranca-sofre-resistencias-no-congresso</t>
        </is>
      </c>
    </row>
    <row r="513">
      <c r="A513" s="15" t="inlineStr">
        <is>
          <t>PL12</t>
        </is>
      </c>
      <c r="B513" s="15" t="inlineStr">
        <is>
          <t>Lula</t>
        </is>
      </c>
      <c r="C513" s="15" t="inlineStr">
        <is>
          <t>Análise inicial</t>
        </is>
      </c>
      <c r="D513" s="15" t="inlineStr">
        <is>
          <t>https://agenciabrasil.ebc.com.br/tags/pec-da-seguranca</t>
        </is>
      </c>
    </row>
    <row r="514">
      <c r="A514" s="15" t="inlineStr">
        <is>
          <t>PL13</t>
        </is>
      </c>
      <c r="B514" s="15" t="inlineStr">
        <is>
          <t>Lula</t>
        </is>
      </c>
      <c r="C514" s="15" t="inlineStr">
        <is>
          <t>Revisor</t>
        </is>
      </c>
      <c r="D514" s="15" t="inlineStr">
        <is>
          <t>https://www.fundoamazonia.gov.br/pt/home/</t>
        </is>
      </c>
    </row>
    <row r="515">
      <c r="A515" s="15" t="inlineStr">
        <is>
          <t>PL13</t>
        </is>
      </c>
      <c r="B515" s="15" t="inlineStr">
        <is>
          <t>Lula</t>
        </is>
      </c>
      <c r="C515" s="15" t="inlineStr">
        <is>
          <t>Revisor</t>
        </is>
      </c>
      <c r="D515" s="15" t="inlineStr">
        <is>
          <t>http://terrabrasilis.dpi.inpe.br/</t>
        </is>
      </c>
    </row>
    <row r="516">
      <c r="A516" s="15" t="inlineStr">
        <is>
          <t>PL13</t>
        </is>
      </c>
      <c r="B516" s="15" t="inlineStr">
        <is>
          <t>Lula</t>
        </is>
      </c>
      <c r="C516" s="15" t="inlineStr">
        <is>
          <t>Revisor</t>
        </is>
      </c>
      <c r="D516" s="15" t="inlineStr">
        <is>
          <t>https://www.bndes.gov.br/</t>
        </is>
      </c>
    </row>
    <row r="517">
      <c r="A517" s="15" t="inlineStr">
        <is>
          <t>PL13</t>
        </is>
      </c>
      <c r="B517" s="15" t="inlineStr">
        <is>
          <t>Lula</t>
        </is>
      </c>
      <c r="C517" s="15" t="inlineStr">
        <is>
          <t>Revisor</t>
        </is>
      </c>
      <c r="D517" s="15" t="inlineStr">
        <is>
          <t>https://www.planalto.gov.br/ccivil_03/_ato2023-2026/2023/lei/L14701.htm</t>
        </is>
      </c>
    </row>
  </sheetData>
  <autoFilter ref="A1:D51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10" r:id="rId208"/>
    <hyperlink xmlns:r="http://schemas.openxmlformats.org/officeDocument/2006/relationships" ref="D211" r:id="rId209"/>
    <hyperlink xmlns:r="http://schemas.openxmlformats.org/officeDocument/2006/relationships" ref="D212" r:id="rId210"/>
    <hyperlink xmlns:r="http://schemas.openxmlformats.org/officeDocument/2006/relationships" ref="D213" r:id="rId211"/>
    <hyperlink xmlns:r="http://schemas.openxmlformats.org/officeDocument/2006/relationships" ref="D214" r:id="rId212"/>
    <hyperlink xmlns:r="http://schemas.openxmlformats.org/officeDocument/2006/relationships" ref="D215" r:id="rId213"/>
    <hyperlink xmlns:r="http://schemas.openxmlformats.org/officeDocument/2006/relationships" ref="D216" r:id="rId214"/>
    <hyperlink xmlns:r="http://schemas.openxmlformats.org/officeDocument/2006/relationships" ref="D217" r:id="rId215"/>
    <hyperlink xmlns:r="http://schemas.openxmlformats.org/officeDocument/2006/relationships" ref="D218" r:id="rId216"/>
    <hyperlink xmlns:r="http://schemas.openxmlformats.org/officeDocument/2006/relationships" ref="D219" r:id="rId217"/>
    <hyperlink xmlns:r="http://schemas.openxmlformats.org/officeDocument/2006/relationships" ref="D220" r:id="rId218"/>
    <hyperlink xmlns:r="http://schemas.openxmlformats.org/officeDocument/2006/relationships" ref="D221" r:id="rId219"/>
    <hyperlink xmlns:r="http://schemas.openxmlformats.org/officeDocument/2006/relationships" ref="D222" r:id="rId220"/>
    <hyperlink xmlns:r="http://schemas.openxmlformats.org/officeDocument/2006/relationships" ref="D223" r:id="rId221"/>
    <hyperlink xmlns:r="http://schemas.openxmlformats.org/officeDocument/2006/relationships" ref="D224" r:id="rId222"/>
    <hyperlink xmlns:r="http://schemas.openxmlformats.org/officeDocument/2006/relationships" ref="D225" r:id="rId223"/>
    <hyperlink xmlns:r="http://schemas.openxmlformats.org/officeDocument/2006/relationships" ref="D226" r:id="rId224"/>
    <hyperlink xmlns:r="http://schemas.openxmlformats.org/officeDocument/2006/relationships" ref="D229" r:id="rId225"/>
    <hyperlink xmlns:r="http://schemas.openxmlformats.org/officeDocument/2006/relationships" ref="D230" r:id="rId226"/>
    <hyperlink xmlns:r="http://schemas.openxmlformats.org/officeDocument/2006/relationships" ref="D231" r:id="rId227"/>
    <hyperlink xmlns:r="http://schemas.openxmlformats.org/officeDocument/2006/relationships" ref="D232" r:id="rId228"/>
    <hyperlink xmlns:r="http://schemas.openxmlformats.org/officeDocument/2006/relationships" ref="D233" r:id="rId229"/>
    <hyperlink xmlns:r="http://schemas.openxmlformats.org/officeDocument/2006/relationships" ref="D234" r:id="rId230"/>
    <hyperlink xmlns:r="http://schemas.openxmlformats.org/officeDocument/2006/relationships" ref="D235" r:id="rId231"/>
    <hyperlink xmlns:r="http://schemas.openxmlformats.org/officeDocument/2006/relationships" ref="D236" r:id="rId232"/>
    <hyperlink xmlns:r="http://schemas.openxmlformats.org/officeDocument/2006/relationships" ref="D237" r:id="rId233"/>
    <hyperlink xmlns:r="http://schemas.openxmlformats.org/officeDocument/2006/relationships" ref="D238" r:id="rId234"/>
    <hyperlink xmlns:r="http://schemas.openxmlformats.org/officeDocument/2006/relationships" ref="D239" r:id="rId235"/>
    <hyperlink xmlns:r="http://schemas.openxmlformats.org/officeDocument/2006/relationships" ref="D240" r:id="rId236"/>
    <hyperlink xmlns:r="http://schemas.openxmlformats.org/officeDocument/2006/relationships" ref="D241" r:id="rId237"/>
    <hyperlink xmlns:r="http://schemas.openxmlformats.org/officeDocument/2006/relationships" ref="D242" r:id="rId238"/>
    <hyperlink xmlns:r="http://schemas.openxmlformats.org/officeDocument/2006/relationships" ref="D243" r:id="rId239"/>
    <hyperlink xmlns:r="http://schemas.openxmlformats.org/officeDocument/2006/relationships" ref="D244" r:id="rId240"/>
    <hyperlink xmlns:r="http://schemas.openxmlformats.org/officeDocument/2006/relationships" ref="D245" r:id="rId241"/>
    <hyperlink xmlns:r="http://schemas.openxmlformats.org/officeDocument/2006/relationships" ref="D246" r:id="rId242"/>
    <hyperlink xmlns:r="http://schemas.openxmlformats.org/officeDocument/2006/relationships" ref="D247" r:id="rId243"/>
    <hyperlink xmlns:r="http://schemas.openxmlformats.org/officeDocument/2006/relationships" ref="D248" r:id="rId244"/>
    <hyperlink xmlns:r="http://schemas.openxmlformats.org/officeDocument/2006/relationships" ref="D249" r:id="rId245"/>
    <hyperlink xmlns:r="http://schemas.openxmlformats.org/officeDocument/2006/relationships" ref="D250" r:id="rId246"/>
    <hyperlink xmlns:r="http://schemas.openxmlformats.org/officeDocument/2006/relationships" ref="D251" r:id="rId247"/>
    <hyperlink xmlns:r="http://schemas.openxmlformats.org/officeDocument/2006/relationships" ref="D252" r:id="rId248"/>
    <hyperlink xmlns:r="http://schemas.openxmlformats.org/officeDocument/2006/relationships" ref="D253" r:id="rId249"/>
    <hyperlink xmlns:r="http://schemas.openxmlformats.org/officeDocument/2006/relationships" ref="D254" r:id="rId250"/>
    <hyperlink xmlns:r="http://schemas.openxmlformats.org/officeDocument/2006/relationships" ref="D255" r:id="rId251"/>
    <hyperlink xmlns:r="http://schemas.openxmlformats.org/officeDocument/2006/relationships" ref="D256" r:id="rId252"/>
    <hyperlink xmlns:r="http://schemas.openxmlformats.org/officeDocument/2006/relationships" ref="D257" r:id="rId253"/>
    <hyperlink xmlns:r="http://schemas.openxmlformats.org/officeDocument/2006/relationships" ref="D258" r:id="rId254"/>
    <hyperlink xmlns:r="http://schemas.openxmlformats.org/officeDocument/2006/relationships" ref="D259" r:id="rId255"/>
    <hyperlink xmlns:r="http://schemas.openxmlformats.org/officeDocument/2006/relationships" ref="D260" r:id="rId256"/>
    <hyperlink xmlns:r="http://schemas.openxmlformats.org/officeDocument/2006/relationships" ref="D261" r:id="rId257"/>
    <hyperlink xmlns:r="http://schemas.openxmlformats.org/officeDocument/2006/relationships" ref="D262" r:id="rId258"/>
    <hyperlink xmlns:r="http://schemas.openxmlformats.org/officeDocument/2006/relationships" ref="D264" r:id="rId259"/>
    <hyperlink xmlns:r="http://schemas.openxmlformats.org/officeDocument/2006/relationships" ref="D265" r:id="rId260"/>
    <hyperlink xmlns:r="http://schemas.openxmlformats.org/officeDocument/2006/relationships" ref="D266" r:id="rId261"/>
    <hyperlink xmlns:r="http://schemas.openxmlformats.org/officeDocument/2006/relationships" ref="D267" r:id="rId262"/>
    <hyperlink xmlns:r="http://schemas.openxmlformats.org/officeDocument/2006/relationships" ref="D268" r:id="rId263"/>
    <hyperlink xmlns:r="http://schemas.openxmlformats.org/officeDocument/2006/relationships" ref="D269" r:id="rId264"/>
    <hyperlink xmlns:r="http://schemas.openxmlformats.org/officeDocument/2006/relationships" ref="D270" r:id="rId265"/>
    <hyperlink xmlns:r="http://schemas.openxmlformats.org/officeDocument/2006/relationships" ref="D271" r:id="rId266"/>
    <hyperlink xmlns:r="http://schemas.openxmlformats.org/officeDocument/2006/relationships" ref="D272" r:id="rId267"/>
    <hyperlink xmlns:r="http://schemas.openxmlformats.org/officeDocument/2006/relationships" ref="D273" r:id="rId268"/>
    <hyperlink xmlns:r="http://schemas.openxmlformats.org/officeDocument/2006/relationships" ref="D274" r:id="rId269"/>
    <hyperlink xmlns:r="http://schemas.openxmlformats.org/officeDocument/2006/relationships" ref="D275" r:id="rId270"/>
    <hyperlink xmlns:r="http://schemas.openxmlformats.org/officeDocument/2006/relationships" ref="D276" r:id="rId271"/>
    <hyperlink xmlns:r="http://schemas.openxmlformats.org/officeDocument/2006/relationships" ref="D277" r:id="rId272"/>
    <hyperlink xmlns:r="http://schemas.openxmlformats.org/officeDocument/2006/relationships" ref="D278" r:id="rId273"/>
    <hyperlink xmlns:r="http://schemas.openxmlformats.org/officeDocument/2006/relationships" ref="D279" r:id="rId274"/>
    <hyperlink xmlns:r="http://schemas.openxmlformats.org/officeDocument/2006/relationships" ref="D280" r:id="rId275"/>
    <hyperlink xmlns:r="http://schemas.openxmlformats.org/officeDocument/2006/relationships" ref="D281" r:id="rId276"/>
    <hyperlink xmlns:r="http://schemas.openxmlformats.org/officeDocument/2006/relationships" ref="D282" r:id="rId277"/>
    <hyperlink xmlns:r="http://schemas.openxmlformats.org/officeDocument/2006/relationships" ref="D283" r:id="rId278"/>
    <hyperlink xmlns:r="http://schemas.openxmlformats.org/officeDocument/2006/relationships" ref="D284" r:id="rId279"/>
    <hyperlink xmlns:r="http://schemas.openxmlformats.org/officeDocument/2006/relationships" ref="D286" r:id="rId280"/>
    <hyperlink xmlns:r="http://schemas.openxmlformats.org/officeDocument/2006/relationships" ref="D290" r:id="rId281"/>
    <hyperlink xmlns:r="http://schemas.openxmlformats.org/officeDocument/2006/relationships" ref="D291" r:id="rId282"/>
    <hyperlink xmlns:r="http://schemas.openxmlformats.org/officeDocument/2006/relationships" ref="D292" r:id="rId283"/>
    <hyperlink xmlns:r="http://schemas.openxmlformats.org/officeDocument/2006/relationships" ref="D293" r:id="rId284"/>
    <hyperlink xmlns:r="http://schemas.openxmlformats.org/officeDocument/2006/relationships" ref="D295" r:id="rId285"/>
    <hyperlink xmlns:r="http://schemas.openxmlformats.org/officeDocument/2006/relationships" ref="D296" r:id="rId286"/>
    <hyperlink xmlns:r="http://schemas.openxmlformats.org/officeDocument/2006/relationships" ref="D299" r:id="rId287"/>
    <hyperlink xmlns:r="http://schemas.openxmlformats.org/officeDocument/2006/relationships" ref="D300" r:id="rId288"/>
    <hyperlink xmlns:r="http://schemas.openxmlformats.org/officeDocument/2006/relationships" ref="D301" r:id="rId289"/>
    <hyperlink xmlns:r="http://schemas.openxmlformats.org/officeDocument/2006/relationships" ref="D315" r:id="rId290"/>
    <hyperlink xmlns:r="http://schemas.openxmlformats.org/officeDocument/2006/relationships" ref="D316" r:id="rId291"/>
    <hyperlink xmlns:r="http://schemas.openxmlformats.org/officeDocument/2006/relationships" ref="D317" r:id="rId292"/>
    <hyperlink xmlns:r="http://schemas.openxmlformats.org/officeDocument/2006/relationships" ref="D318" r:id="rId293"/>
    <hyperlink xmlns:r="http://schemas.openxmlformats.org/officeDocument/2006/relationships" ref="D319" r:id="rId294"/>
    <hyperlink xmlns:r="http://schemas.openxmlformats.org/officeDocument/2006/relationships" ref="D323" r:id="rId295"/>
    <hyperlink xmlns:r="http://schemas.openxmlformats.org/officeDocument/2006/relationships" ref="D324" r:id="rId296"/>
    <hyperlink xmlns:r="http://schemas.openxmlformats.org/officeDocument/2006/relationships" ref="D325" r:id="rId297"/>
    <hyperlink xmlns:r="http://schemas.openxmlformats.org/officeDocument/2006/relationships" ref="D326" r:id="rId298"/>
    <hyperlink xmlns:r="http://schemas.openxmlformats.org/officeDocument/2006/relationships" ref="D327" r:id="rId299"/>
    <hyperlink xmlns:r="http://schemas.openxmlformats.org/officeDocument/2006/relationships" ref="D328" r:id="rId300"/>
    <hyperlink xmlns:r="http://schemas.openxmlformats.org/officeDocument/2006/relationships" ref="D333" r:id="rId301"/>
    <hyperlink xmlns:r="http://schemas.openxmlformats.org/officeDocument/2006/relationships" ref="D334" r:id="rId302"/>
    <hyperlink xmlns:r="http://schemas.openxmlformats.org/officeDocument/2006/relationships" ref="D335" r:id="rId303"/>
    <hyperlink xmlns:r="http://schemas.openxmlformats.org/officeDocument/2006/relationships" ref="D336" r:id="rId304"/>
    <hyperlink xmlns:r="http://schemas.openxmlformats.org/officeDocument/2006/relationships" ref="D337" r:id="rId305"/>
    <hyperlink xmlns:r="http://schemas.openxmlformats.org/officeDocument/2006/relationships" ref="D338" r:id="rId306"/>
    <hyperlink xmlns:r="http://schemas.openxmlformats.org/officeDocument/2006/relationships" ref="D339" r:id="rId307"/>
    <hyperlink xmlns:r="http://schemas.openxmlformats.org/officeDocument/2006/relationships" ref="D340" r:id="rId308"/>
    <hyperlink xmlns:r="http://schemas.openxmlformats.org/officeDocument/2006/relationships" ref="D341" r:id="rId309"/>
    <hyperlink xmlns:r="http://schemas.openxmlformats.org/officeDocument/2006/relationships" ref="D342" r:id="rId310"/>
    <hyperlink xmlns:r="http://schemas.openxmlformats.org/officeDocument/2006/relationships" ref="D343" r:id="rId311"/>
    <hyperlink xmlns:r="http://schemas.openxmlformats.org/officeDocument/2006/relationships" ref="D344" r:id="rId312"/>
    <hyperlink xmlns:r="http://schemas.openxmlformats.org/officeDocument/2006/relationships" ref="D345" r:id="rId313"/>
    <hyperlink xmlns:r="http://schemas.openxmlformats.org/officeDocument/2006/relationships" ref="D346" r:id="rId314"/>
    <hyperlink xmlns:r="http://schemas.openxmlformats.org/officeDocument/2006/relationships" ref="D347" r:id="rId315"/>
    <hyperlink xmlns:r="http://schemas.openxmlformats.org/officeDocument/2006/relationships" ref="D348" r:id="rId316"/>
    <hyperlink xmlns:r="http://schemas.openxmlformats.org/officeDocument/2006/relationships" ref="D349" r:id="rId317"/>
    <hyperlink xmlns:r="http://schemas.openxmlformats.org/officeDocument/2006/relationships" ref="D350" r:id="rId318"/>
    <hyperlink xmlns:r="http://schemas.openxmlformats.org/officeDocument/2006/relationships" ref="D351" r:id="rId319"/>
    <hyperlink xmlns:r="http://schemas.openxmlformats.org/officeDocument/2006/relationships" ref="D352" r:id="rId320"/>
    <hyperlink xmlns:r="http://schemas.openxmlformats.org/officeDocument/2006/relationships" ref="D353" r:id="rId321"/>
    <hyperlink xmlns:r="http://schemas.openxmlformats.org/officeDocument/2006/relationships" ref="D354" r:id="rId322"/>
    <hyperlink xmlns:r="http://schemas.openxmlformats.org/officeDocument/2006/relationships" ref="D355" r:id="rId323"/>
    <hyperlink xmlns:r="http://schemas.openxmlformats.org/officeDocument/2006/relationships" ref="D356" r:id="rId324"/>
    <hyperlink xmlns:r="http://schemas.openxmlformats.org/officeDocument/2006/relationships" ref="D357" r:id="rId325"/>
    <hyperlink xmlns:r="http://schemas.openxmlformats.org/officeDocument/2006/relationships" ref="D358" r:id="rId326"/>
    <hyperlink xmlns:r="http://schemas.openxmlformats.org/officeDocument/2006/relationships" ref="D359" r:id="rId327"/>
    <hyperlink xmlns:r="http://schemas.openxmlformats.org/officeDocument/2006/relationships" ref="D360" r:id="rId328"/>
    <hyperlink xmlns:r="http://schemas.openxmlformats.org/officeDocument/2006/relationships" ref="D361" r:id="rId329"/>
    <hyperlink xmlns:r="http://schemas.openxmlformats.org/officeDocument/2006/relationships" ref="D362" r:id="rId330"/>
    <hyperlink xmlns:r="http://schemas.openxmlformats.org/officeDocument/2006/relationships" ref="D363" r:id="rId331"/>
    <hyperlink xmlns:r="http://schemas.openxmlformats.org/officeDocument/2006/relationships" ref="D364" r:id="rId332"/>
    <hyperlink xmlns:r="http://schemas.openxmlformats.org/officeDocument/2006/relationships" ref="D365" r:id="rId333"/>
    <hyperlink xmlns:r="http://schemas.openxmlformats.org/officeDocument/2006/relationships" ref="D366" r:id="rId334"/>
    <hyperlink xmlns:r="http://schemas.openxmlformats.org/officeDocument/2006/relationships" ref="D367" r:id="rId335"/>
    <hyperlink xmlns:r="http://schemas.openxmlformats.org/officeDocument/2006/relationships" ref="D368" r:id="rId336"/>
    <hyperlink xmlns:r="http://schemas.openxmlformats.org/officeDocument/2006/relationships" ref="D369" r:id="rId337"/>
    <hyperlink xmlns:r="http://schemas.openxmlformats.org/officeDocument/2006/relationships" ref="D370" r:id="rId338"/>
    <hyperlink xmlns:r="http://schemas.openxmlformats.org/officeDocument/2006/relationships" ref="D371" r:id="rId339"/>
    <hyperlink xmlns:r="http://schemas.openxmlformats.org/officeDocument/2006/relationships" ref="D372" r:id="rId340"/>
    <hyperlink xmlns:r="http://schemas.openxmlformats.org/officeDocument/2006/relationships" ref="D373" r:id="rId341"/>
    <hyperlink xmlns:r="http://schemas.openxmlformats.org/officeDocument/2006/relationships" ref="D374" r:id="rId342"/>
    <hyperlink xmlns:r="http://schemas.openxmlformats.org/officeDocument/2006/relationships" ref="D375" r:id="rId343"/>
    <hyperlink xmlns:r="http://schemas.openxmlformats.org/officeDocument/2006/relationships" ref="D376" r:id="rId344"/>
    <hyperlink xmlns:r="http://schemas.openxmlformats.org/officeDocument/2006/relationships" ref="D377" r:id="rId345"/>
    <hyperlink xmlns:r="http://schemas.openxmlformats.org/officeDocument/2006/relationships" ref="D378" r:id="rId346"/>
    <hyperlink xmlns:r="http://schemas.openxmlformats.org/officeDocument/2006/relationships" ref="D379" r:id="rId347"/>
    <hyperlink xmlns:r="http://schemas.openxmlformats.org/officeDocument/2006/relationships" ref="D380" r:id="rId348"/>
    <hyperlink xmlns:r="http://schemas.openxmlformats.org/officeDocument/2006/relationships" ref="D381" r:id="rId349"/>
    <hyperlink xmlns:r="http://schemas.openxmlformats.org/officeDocument/2006/relationships" ref="D382" r:id="rId350"/>
    <hyperlink xmlns:r="http://schemas.openxmlformats.org/officeDocument/2006/relationships" ref="D383" r:id="rId351"/>
    <hyperlink xmlns:r="http://schemas.openxmlformats.org/officeDocument/2006/relationships" ref="D384" r:id="rId352"/>
    <hyperlink xmlns:r="http://schemas.openxmlformats.org/officeDocument/2006/relationships" ref="D385" r:id="rId353"/>
    <hyperlink xmlns:r="http://schemas.openxmlformats.org/officeDocument/2006/relationships" ref="D386" r:id="rId354"/>
    <hyperlink xmlns:r="http://schemas.openxmlformats.org/officeDocument/2006/relationships" ref="D387" r:id="rId355"/>
    <hyperlink xmlns:r="http://schemas.openxmlformats.org/officeDocument/2006/relationships" ref="D388" r:id="rId356"/>
    <hyperlink xmlns:r="http://schemas.openxmlformats.org/officeDocument/2006/relationships" ref="D389" r:id="rId357"/>
    <hyperlink xmlns:r="http://schemas.openxmlformats.org/officeDocument/2006/relationships" ref="D390" r:id="rId358"/>
    <hyperlink xmlns:r="http://schemas.openxmlformats.org/officeDocument/2006/relationships" ref="D391" r:id="rId359"/>
    <hyperlink xmlns:r="http://schemas.openxmlformats.org/officeDocument/2006/relationships" ref="D392" r:id="rId360"/>
    <hyperlink xmlns:r="http://schemas.openxmlformats.org/officeDocument/2006/relationships" ref="D393" r:id="rId361"/>
    <hyperlink xmlns:r="http://schemas.openxmlformats.org/officeDocument/2006/relationships" ref="D394" r:id="rId362"/>
    <hyperlink xmlns:r="http://schemas.openxmlformats.org/officeDocument/2006/relationships" ref="D395" r:id="rId363"/>
    <hyperlink xmlns:r="http://schemas.openxmlformats.org/officeDocument/2006/relationships" ref="D396" r:id="rId364"/>
    <hyperlink xmlns:r="http://schemas.openxmlformats.org/officeDocument/2006/relationships" ref="D397" r:id="rId365"/>
    <hyperlink xmlns:r="http://schemas.openxmlformats.org/officeDocument/2006/relationships" ref="D398" r:id="rId366"/>
    <hyperlink xmlns:r="http://schemas.openxmlformats.org/officeDocument/2006/relationships" ref="D399" r:id="rId367"/>
    <hyperlink xmlns:r="http://schemas.openxmlformats.org/officeDocument/2006/relationships" ref="D400" r:id="rId368"/>
    <hyperlink xmlns:r="http://schemas.openxmlformats.org/officeDocument/2006/relationships" ref="D401" r:id="rId369"/>
    <hyperlink xmlns:r="http://schemas.openxmlformats.org/officeDocument/2006/relationships" ref="D402" r:id="rId370"/>
    <hyperlink xmlns:r="http://schemas.openxmlformats.org/officeDocument/2006/relationships" ref="D403" r:id="rId371"/>
    <hyperlink xmlns:r="http://schemas.openxmlformats.org/officeDocument/2006/relationships" ref="D404" r:id="rId372"/>
    <hyperlink xmlns:r="http://schemas.openxmlformats.org/officeDocument/2006/relationships" ref="D405" r:id="rId373"/>
    <hyperlink xmlns:r="http://schemas.openxmlformats.org/officeDocument/2006/relationships" ref="D406" r:id="rId374"/>
    <hyperlink xmlns:r="http://schemas.openxmlformats.org/officeDocument/2006/relationships" ref="D407" r:id="rId375"/>
    <hyperlink xmlns:r="http://schemas.openxmlformats.org/officeDocument/2006/relationships" ref="D408" r:id="rId376"/>
    <hyperlink xmlns:r="http://schemas.openxmlformats.org/officeDocument/2006/relationships" ref="D409" r:id="rId377"/>
    <hyperlink xmlns:r="http://schemas.openxmlformats.org/officeDocument/2006/relationships" ref="D410" r:id="rId378"/>
    <hyperlink xmlns:r="http://schemas.openxmlformats.org/officeDocument/2006/relationships" ref="D411" r:id="rId379"/>
    <hyperlink xmlns:r="http://schemas.openxmlformats.org/officeDocument/2006/relationships" ref="D412" r:id="rId380"/>
    <hyperlink xmlns:r="http://schemas.openxmlformats.org/officeDocument/2006/relationships" ref="D413" r:id="rId381"/>
    <hyperlink xmlns:r="http://schemas.openxmlformats.org/officeDocument/2006/relationships" ref="D414" r:id="rId382"/>
    <hyperlink xmlns:r="http://schemas.openxmlformats.org/officeDocument/2006/relationships" ref="D415" r:id="rId383"/>
    <hyperlink xmlns:r="http://schemas.openxmlformats.org/officeDocument/2006/relationships" ref="D416" r:id="rId384"/>
    <hyperlink xmlns:r="http://schemas.openxmlformats.org/officeDocument/2006/relationships" ref="D417" r:id="rId385"/>
    <hyperlink xmlns:r="http://schemas.openxmlformats.org/officeDocument/2006/relationships" ref="D418" r:id="rId386"/>
    <hyperlink xmlns:r="http://schemas.openxmlformats.org/officeDocument/2006/relationships" ref="D419" r:id="rId387"/>
    <hyperlink xmlns:r="http://schemas.openxmlformats.org/officeDocument/2006/relationships" ref="D420" r:id="rId388"/>
    <hyperlink xmlns:r="http://schemas.openxmlformats.org/officeDocument/2006/relationships" ref="D421" r:id="rId389"/>
    <hyperlink xmlns:r="http://schemas.openxmlformats.org/officeDocument/2006/relationships" ref="D422" r:id="rId390"/>
    <hyperlink xmlns:r="http://schemas.openxmlformats.org/officeDocument/2006/relationships" ref="D423" r:id="rId391"/>
    <hyperlink xmlns:r="http://schemas.openxmlformats.org/officeDocument/2006/relationships" ref="D424" r:id="rId392"/>
    <hyperlink xmlns:r="http://schemas.openxmlformats.org/officeDocument/2006/relationships" ref="D425" r:id="rId393"/>
    <hyperlink xmlns:r="http://schemas.openxmlformats.org/officeDocument/2006/relationships" ref="D426" r:id="rId394"/>
    <hyperlink xmlns:r="http://schemas.openxmlformats.org/officeDocument/2006/relationships" ref="D427" r:id="rId395"/>
    <hyperlink xmlns:r="http://schemas.openxmlformats.org/officeDocument/2006/relationships" ref="D428" r:id="rId396"/>
    <hyperlink xmlns:r="http://schemas.openxmlformats.org/officeDocument/2006/relationships" ref="D429" r:id="rId397"/>
    <hyperlink xmlns:r="http://schemas.openxmlformats.org/officeDocument/2006/relationships" ref="D430" r:id="rId398"/>
    <hyperlink xmlns:r="http://schemas.openxmlformats.org/officeDocument/2006/relationships" ref="D432" r:id="rId399"/>
    <hyperlink xmlns:r="http://schemas.openxmlformats.org/officeDocument/2006/relationships" ref="D433" r:id="rId400"/>
    <hyperlink xmlns:r="http://schemas.openxmlformats.org/officeDocument/2006/relationships" ref="D434" r:id="rId401"/>
    <hyperlink xmlns:r="http://schemas.openxmlformats.org/officeDocument/2006/relationships" ref="D435" r:id="rId402"/>
    <hyperlink xmlns:r="http://schemas.openxmlformats.org/officeDocument/2006/relationships" ref="D436" r:id="rId403"/>
    <hyperlink xmlns:r="http://schemas.openxmlformats.org/officeDocument/2006/relationships" ref="D437" r:id="rId404"/>
    <hyperlink xmlns:r="http://schemas.openxmlformats.org/officeDocument/2006/relationships" ref="D438" r:id="rId405"/>
    <hyperlink xmlns:r="http://schemas.openxmlformats.org/officeDocument/2006/relationships" ref="D439" r:id="rId406"/>
    <hyperlink xmlns:r="http://schemas.openxmlformats.org/officeDocument/2006/relationships" ref="D440" r:id="rId407"/>
    <hyperlink xmlns:r="http://schemas.openxmlformats.org/officeDocument/2006/relationships" ref="D441" r:id="rId408"/>
    <hyperlink xmlns:r="http://schemas.openxmlformats.org/officeDocument/2006/relationships" ref="D442" r:id="rId409"/>
    <hyperlink xmlns:r="http://schemas.openxmlformats.org/officeDocument/2006/relationships" ref="D443" r:id="rId410"/>
    <hyperlink xmlns:r="http://schemas.openxmlformats.org/officeDocument/2006/relationships" ref="D444" r:id="rId411"/>
    <hyperlink xmlns:r="http://schemas.openxmlformats.org/officeDocument/2006/relationships" ref="D445" r:id="rId412"/>
    <hyperlink xmlns:r="http://schemas.openxmlformats.org/officeDocument/2006/relationships" ref="D446" r:id="rId413"/>
    <hyperlink xmlns:r="http://schemas.openxmlformats.org/officeDocument/2006/relationships" ref="D447" r:id="rId414"/>
    <hyperlink xmlns:r="http://schemas.openxmlformats.org/officeDocument/2006/relationships" ref="D448" r:id="rId415"/>
    <hyperlink xmlns:r="http://schemas.openxmlformats.org/officeDocument/2006/relationships" ref="D449" r:id="rId416"/>
    <hyperlink xmlns:r="http://schemas.openxmlformats.org/officeDocument/2006/relationships" ref="D450" r:id="rId417"/>
    <hyperlink xmlns:r="http://schemas.openxmlformats.org/officeDocument/2006/relationships" ref="D451" r:id="rId418"/>
    <hyperlink xmlns:r="http://schemas.openxmlformats.org/officeDocument/2006/relationships" ref="D452" r:id="rId419"/>
    <hyperlink xmlns:r="http://schemas.openxmlformats.org/officeDocument/2006/relationships" ref="D453" r:id="rId420"/>
    <hyperlink xmlns:r="http://schemas.openxmlformats.org/officeDocument/2006/relationships" ref="D454" r:id="rId421"/>
    <hyperlink xmlns:r="http://schemas.openxmlformats.org/officeDocument/2006/relationships" ref="D455" r:id="rId422"/>
    <hyperlink xmlns:r="http://schemas.openxmlformats.org/officeDocument/2006/relationships" ref="D456" r:id="rId423"/>
    <hyperlink xmlns:r="http://schemas.openxmlformats.org/officeDocument/2006/relationships" ref="D457" r:id="rId424"/>
    <hyperlink xmlns:r="http://schemas.openxmlformats.org/officeDocument/2006/relationships" ref="D458" r:id="rId425"/>
    <hyperlink xmlns:r="http://schemas.openxmlformats.org/officeDocument/2006/relationships" ref="D459" r:id="rId426"/>
    <hyperlink xmlns:r="http://schemas.openxmlformats.org/officeDocument/2006/relationships" ref="D460" r:id="rId427"/>
    <hyperlink xmlns:r="http://schemas.openxmlformats.org/officeDocument/2006/relationships" ref="D461" r:id="rId428"/>
    <hyperlink xmlns:r="http://schemas.openxmlformats.org/officeDocument/2006/relationships" ref="D462" r:id="rId429"/>
    <hyperlink xmlns:r="http://schemas.openxmlformats.org/officeDocument/2006/relationships" ref="D463" r:id="rId430"/>
    <hyperlink xmlns:r="http://schemas.openxmlformats.org/officeDocument/2006/relationships" ref="D464" r:id="rId431"/>
    <hyperlink xmlns:r="http://schemas.openxmlformats.org/officeDocument/2006/relationships" ref="D465" r:id="rId432"/>
    <hyperlink xmlns:r="http://schemas.openxmlformats.org/officeDocument/2006/relationships" ref="D466" r:id="rId433"/>
    <hyperlink xmlns:r="http://schemas.openxmlformats.org/officeDocument/2006/relationships" ref="D467" r:id="rId434"/>
    <hyperlink xmlns:r="http://schemas.openxmlformats.org/officeDocument/2006/relationships" ref="D468" r:id="rId435"/>
    <hyperlink xmlns:r="http://schemas.openxmlformats.org/officeDocument/2006/relationships" ref="D469" r:id="rId436"/>
    <hyperlink xmlns:r="http://schemas.openxmlformats.org/officeDocument/2006/relationships" ref="D470" r:id="rId437"/>
    <hyperlink xmlns:r="http://schemas.openxmlformats.org/officeDocument/2006/relationships" ref="D471" r:id="rId438"/>
    <hyperlink xmlns:r="http://schemas.openxmlformats.org/officeDocument/2006/relationships" ref="D472" r:id="rId439"/>
    <hyperlink xmlns:r="http://schemas.openxmlformats.org/officeDocument/2006/relationships" ref="D473" r:id="rId440"/>
    <hyperlink xmlns:r="http://schemas.openxmlformats.org/officeDocument/2006/relationships" ref="D474" r:id="rId441"/>
    <hyperlink xmlns:r="http://schemas.openxmlformats.org/officeDocument/2006/relationships" ref="D475" r:id="rId442"/>
    <hyperlink xmlns:r="http://schemas.openxmlformats.org/officeDocument/2006/relationships" ref="D476" r:id="rId443"/>
    <hyperlink xmlns:r="http://schemas.openxmlformats.org/officeDocument/2006/relationships" ref="D477" r:id="rId444"/>
    <hyperlink xmlns:r="http://schemas.openxmlformats.org/officeDocument/2006/relationships" ref="D478" r:id="rId445"/>
    <hyperlink xmlns:r="http://schemas.openxmlformats.org/officeDocument/2006/relationships" ref="D479" r:id="rId446"/>
    <hyperlink xmlns:r="http://schemas.openxmlformats.org/officeDocument/2006/relationships" ref="D480" r:id="rId447"/>
    <hyperlink xmlns:r="http://schemas.openxmlformats.org/officeDocument/2006/relationships" ref="D481" r:id="rId448"/>
    <hyperlink xmlns:r="http://schemas.openxmlformats.org/officeDocument/2006/relationships" ref="D482" r:id="rId449"/>
    <hyperlink xmlns:r="http://schemas.openxmlformats.org/officeDocument/2006/relationships" ref="D483" r:id="rId450"/>
    <hyperlink xmlns:r="http://schemas.openxmlformats.org/officeDocument/2006/relationships" ref="D484" r:id="rId451"/>
    <hyperlink xmlns:r="http://schemas.openxmlformats.org/officeDocument/2006/relationships" ref="D485" r:id="rId452"/>
    <hyperlink xmlns:r="http://schemas.openxmlformats.org/officeDocument/2006/relationships" ref="D486" r:id="rId453"/>
    <hyperlink xmlns:r="http://schemas.openxmlformats.org/officeDocument/2006/relationships" ref="D487" r:id="rId454"/>
    <hyperlink xmlns:r="http://schemas.openxmlformats.org/officeDocument/2006/relationships" ref="D488" r:id="rId455"/>
    <hyperlink xmlns:r="http://schemas.openxmlformats.org/officeDocument/2006/relationships" ref="D489" r:id="rId456"/>
    <hyperlink xmlns:r="http://schemas.openxmlformats.org/officeDocument/2006/relationships" ref="D490" r:id="rId457"/>
    <hyperlink xmlns:r="http://schemas.openxmlformats.org/officeDocument/2006/relationships" ref="D491" r:id="rId458"/>
    <hyperlink xmlns:r="http://schemas.openxmlformats.org/officeDocument/2006/relationships" ref="D492" r:id="rId459"/>
    <hyperlink xmlns:r="http://schemas.openxmlformats.org/officeDocument/2006/relationships" ref="D493" r:id="rId460"/>
    <hyperlink xmlns:r="http://schemas.openxmlformats.org/officeDocument/2006/relationships" ref="D494" r:id="rId461"/>
    <hyperlink xmlns:r="http://schemas.openxmlformats.org/officeDocument/2006/relationships" ref="D495" r:id="rId462"/>
    <hyperlink xmlns:r="http://schemas.openxmlformats.org/officeDocument/2006/relationships" ref="D496" r:id="rId463"/>
    <hyperlink xmlns:r="http://schemas.openxmlformats.org/officeDocument/2006/relationships" ref="D497" r:id="rId464"/>
    <hyperlink xmlns:r="http://schemas.openxmlformats.org/officeDocument/2006/relationships" ref="D498" r:id="rId465"/>
    <hyperlink xmlns:r="http://schemas.openxmlformats.org/officeDocument/2006/relationships" ref="D499" r:id="rId466"/>
    <hyperlink xmlns:r="http://schemas.openxmlformats.org/officeDocument/2006/relationships" ref="D500" r:id="rId467"/>
    <hyperlink xmlns:r="http://schemas.openxmlformats.org/officeDocument/2006/relationships" ref="D501" r:id="rId468"/>
    <hyperlink xmlns:r="http://schemas.openxmlformats.org/officeDocument/2006/relationships" ref="D502" r:id="rId469"/>
    <hyperlink xmlns:r="http://schemas.openxmlformats.org/officeDocument/2006/relationships" ref="D503" r:id="rId470"/>
    <hyperlink xmlns:r="http://schemas.openxmlformats.org/officeDocument/2006/relationships" ref="D504" r:id="rId471"/>
    <hyperlink xmlns:r="http://schemas.openxmlformats.org/officeDocument/2006/relationships" ref="D505" r:id="rId472"/>
    <hyperlink xmlns:r="http://schemas.openxmlformats.org/officeDocument/2006/relationships" ref="D506" r:id="rId473"/>
    <hyperlink xmlns:r="http://schemas.openxmlformats.org/officeDocument/2006/relationships" ref="D507" r:id="rId474"/>
    <hyperlink xmlns:r="http://schemas.openxmlformats.org/officeDocument/2006/relationships" ref="D508" r:id="rId475"/>
    <hyperlink xmlns:r="http://schemas.openxmlformats.org/officeDocument/2006/relationships" ref="D509" r:id="rId476"/>
    <hyperlink xmlns:r="http://schemas.openxmlformats.org/officeDocument/2006/relationships" ref="D510" r:id="rId477"/>
    <hyperlink xmlns:r="http://schemas.openxmlformats.org/officeDocument/2006/relationships" ref="D511" r:id="rId478"/>
    <hyperlink xmlns:r="http://schemas.openxmlformats.org/officeDocument/2006/relationships" ref="D512" r:id="rId479"/>
    <hyperlink xmlns:r="http://schemas.openxmlformats.org/officeDocument/2006/relationships" ref="D513" r:id="rId480"/>
    <hyperlink xmlns:r="http://schemas.openxmlformats.org/officeDocument/2006/relationships" ref="D514" r:id="rId481"/>
    <hyperlink xmlns:r="http://schemas.openxmlformats.org/officeDocument/2006/relationships" ref="D515" r:id="rId482"/>
    <hyperlink xmlns:r="http://schemas.openxmlformats.org/officeDocument/2006/relationships" ref="D516" r:id="rId483"/>
    <hyperlink xmlns:r="http://schemas.openxmlformats.org/officeDocument/2006/relationships" ref="D517" r:id="rId48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5"/>
  <sheetViews>
    <sheetView workbookViewId="0">
      <selection activeCell="A1" sqref="A1"/>
    </sheetView>
  </sheetViews>
  <sheetFormatPr baseColWidth="8" defaultRowHeight="15"/>
  <cols>
    <col width="26" customWidth="1" min="1" max="1"/>
    <col width="24" customWidth="1" min="2" max="2"/>
    <col width="70" customWidth="1" min="3" max="3"/>
    <col width="14" customWidth="1" min="4" max="4"/>
    <col width="2" customWidth="1" min="5" max="5"/>
  </cols>
  <sheetData>
    <row r="1">
      <c r="A1" s="35" t="inlineStr">
        <is>
          <t>Veículos excluídos nesta versão (fontes com viés político declarado ou baixa confiabilidade)</t>
        </is>
      </c>
    </row>
    <row r="2" ht="42" customHeight="1">
      <c r="A2" s="36" t="inlineStr">
        <is>
          <t>Critério simétrico: saíram veículos militantes ou com alinhamento partidário declarado, dos dois lados do espectro, além de fontes abertas não jornalísticas. Também saíram Gazeta do Povo e Sul21, que têm linha editorial declarada (conservadora e progressista). Jornais tradicionais sem alinhamento declarado foram mantidos.</t>
        </is>
      </c>
    </row>
    <row r="4">
      <c r="A4" s="3" t="inlineStr">
        <is>
          <t>Veículo</t>
        </is>
      </c>
      <c r="B4" s="3" t="inlineStr">
        <is>
          <t>Domínio</t>
        </is>
      </c>
      <c r="C4" s="3" t="inlineStr">
        <is>
          <t>Motivo da exclusão</t>
        </is>
      </c>
      <c r="D4" s="3" t="inlineStr">
        <is>
          <t>Referências removidas</t>
        </is>
      </c>
      <c r="E4" s="3" t="inlineStr"/>
    </row>
    <row r="5">
      <c r="A5" s="21" t="inlineStr">
        <is>
          <t>CartaCapital</t>
        </is>
      </c>
      <c r="B5" s="21" t="inlineStr">
        <is>
          <t>cartacapital.com.br</t>
        </is>
      </c>
      <c r="C5" s="21" t="inlineStr">
        <is>
          <t>linha editorial de esquerda declarada; apoio editorial a candidatos do PT</t>
        </is>
      </c>
      <c r="D5" s="21" t="n">
        <v>6</v>
      </c>
    </row>
    <row r="6">
      <c r="A6" s="21" t="inlineStr">
        <is>
          <t>Brasil de Fato</t>
        </is>
      </c>
      <c r="B6" s="21" t="inlineStr">
        <is>
          <t>brasildefato.com.br</t>
        </is>
      </c>
      <c r="C6" s="21" t="inlineStr">
        <is>
          <t>veículo ligado a movimentos sociais de esquerda (MST)</t>
        </is>
      </c>
      <c r="D6" s="21" t="n">
        <v>1</v>
      </c>
    </row>
    <row r="7">
      <c r="A7" s="21" t="inlineStr">
        <is>
          <t>Portal Vermelho</t>
        </is>
      </c>
      <c r="B7" s="21" t="inlineStr">
        <is>
          <t>vermelho.org.br</t>
        </is>
      </c>
      <c r="C7" s="21" t="inlineStr">
        <is>
          <t>órgão de comunicação do PCdoB</t>
        </is>
      </c>
      <c r="D7" s="21" t="n">
        <v>1</v>
      </c>
    </row>
    <row r="8">
      <c r="A8" s="21" t="inlineStr">
        <is>
          <t>Fundação Perseu Abramo</t>
        </is>
      </c>
      <c r="B8" s="21" t="inlineStr">
        <is>
          <t>fpabramo.org.br</t>
        </is>
      </c>
      <c r="C8" s="21" t="inlineStr">
        <is>
          <t>fundação partidária do PT</t>
        </is>
      </c>
      <c r="D8" s="21" t="n">
        <v>1</v>
      </c>
    </row>
    <row r="9">
      <c r="A9" s="21" t="inlineStr">
        <is>
          <t>O Cafezinho</t>
        </is>
      </c>
      <c r="B9" s="21" t="inlineStr">
        <is>
          <t>ocafezinho.com</t>
        </is>
      </c>
      <c r="C9" s="21" t="inlineStr">
        <is>
          <t>blog militante de esquerda</t>
        </is>
      </c>
      <c r="D9" s="21" t="n">
        <v>1</v>
      </c>
    </row>
    <row r="10">
      <c r="A10" s="21" t="inlineStr">
        <is>
          <t>ICL Notícias</t>
        </is>
      </c>
      <c r="B10" s="21" t="inlineStr">
        <is>
          <t>iclnoticias.com.br</t>
        </is>
      </c>
      <c r="C10" s="21" t="inlineStr">
        <is>
          <t>veículo de opinião alinhado à esquerda</t>
        </is>
      </c>
      <c r="D10" s="21" t="n">
        <v>2</v>
      </c>
    </row>
    <row r="11">
      <c r="A11" s="21" t="inlineStr">
        <is>
          <t>TVT</t>
        </is>
      </c>
      <c r="B11" s="21" t="inlineStr">
        <is>
          <t>tvtnews.com.br</t>
        </is>
      </c>
      <c r="C11" s="21" t="inlineStr">
        <is>
          <t>emissora ligada a sindicatos (CUT/Metalúrgicos do ABC)</t>
        </is>
      </c>
      <c r="D11" s="21" t="n">
        <v>1</v>
      </c>
    </row>
    <row r="12">
      <c r="A12" s="21" t="inlineStr">
        <is>
          <t>Revista Oeste</t>
        </is>
      </c>
      <c r="B12" s="21" t="inlineStr">
        <is>
          <t>revistaoeste.com</t>
        </is>
      </c>
      <c r="C12" s="21" t="inlineStr">
        <is>
          <t>linha editorial de direita declarada; alinhada ao bolsonarismo</t>
        </is>
      </c>
      <c r="D12" s="21" t="n">
        <v>3</v>
      </c>
    </row>
    <row r="13">
      <c r="A13" s="21" t="inlineStr">
        <is>
          <t>Crusoé</t>
        </is>
      </c>
      <c r="B13" s="21" t="inlineStr">
        <is>
          <t>crusoe.com.br</t>
        </is>
      </c>
      <c r="C13" s="21" t="inlineStr">
        <is>
          <t>revista de opinião de oposição ao PT</t>
        </is>
      </c>
      <c r="D13" s="21" t="n">
        <v>2</v>
      </c>
    </row>
    <row r="14">
      <c r="A14" s="21" t="inlineStr">
        <is>
          <t>O Antagonista</t>
        </is>
      </c>
      <c r="B14" s="21" t="inlineStr">
        <is>
          <t>oantagonista.com.br</t>
        </is>
      </c>
      <c r="C14" s="21" t="inlineStr">
        <is>
          <t>site de opinião de oposição ao PT</t>
        </is>
      </c>
      <c r="D14" s="21" t="n">
        <v>1</v>
      </c>
    </row>
    <row r="15">
      <c r="A15" s="21" t="inlineStr">
        <is>
          <t>Jovem Pan</t>
        </is>
      </c>
      <c r="B15" s="21" t="inlineStr">
        <is>
          <t>jovempan.com.br</t>
        </is>
      </c>
      <c r="C15" s="21" t="inlineStr">
        <is>
          <t>histórico de alinhamento ao bolsonarismo; alvo de ação do MPF/TSE por desinformação</t>
        </is>
      </c>
      <c r="D15" s="21" t="n">
        <v>6</v>
      </c>
    </row>
    <row r="16">
      <c r="A16" s="21" t="inlineStr">
        <is>
          <t>Diário do Poder</t>
        </is>
      </c>
      <c r="B16" s="21" t="inlineStr">
        <is>
          <t>diariodopoder.com.br</t>
        </is>
      </c>
      <c r="C16" s="21" t="inlineStr">
        <is>
          <t>site de linha editorial de direita/oposição</t>
        </is>
      </c>
      <c r="D16" s="21" t="n">
        <v>1</v>
      </c>
    </row>
    <row r="17">
      <c r="A17" s="21" t="inlineStr">
        <is>
          <t>Brasil 247</t>
        </is>
      </c>
      <c r="B17" s="21" t="inlineStr">
        <is>
          <t>brasil247.com</t>
        </is>
      </c>
      <c r="C17" s="21" t="inlineStr">
        <is>
          <t>site militante de esquerda</t>
        </is>
      </c>
      <c r="D17" s="21" t="n">
        <v>0</v>
      </c>
    </row>
    <row r="18">
      <c r="A18" s="21" t="inlineStr">
        <is>
          <t>Wikipédia</t>
        </is>
      </c>
      <c r="B18" s="21" t="inlineStr">
        <is>
          <t>wikipedia.org</t>
        </is>
      </c>
      <c r="C18" s="21" t="inlineStr">
        <is>
          <t>fonte aberta editável, não jornalística</t>
        </is>
      </c>
      <c r="D18" s="21" t="n">
        <v>1</v>
      </c>
    </row>
    <row r="19">
      <c r="A19" s="21" t="inlineStr">
        <is>
          <t>Gazeta do Povo</t>
        </is>
      </c>
      <c r="B19" s="21" t="inlineStr">
        <is>
          <t>gazetadopovo.com.br</t>
        </is>
      </c>
      <c r="C19" s="21" t="inlineStr">
        <is>
          <t>linha editorial conservadora declarada; alinhamento de oposição ao PT</t>
        </is>
      </c>
      <c r="D19" s="21" t="n">
        <v>21</v>
      </c>
    </row>
    <row r="20">
      <c r="A20" s="21" t="inlineStr">
        <is>
          <t>Sul21</t>
        </is>
      </c>
      <c r="B20" s="21" t="inlineStr">
        <is>
          <t>sul21.com.br</t>
        </is>
      </c>
      <c r="C20" s="21" t="inlineStr">
        <is>
          <t>linha editorial progressista declarada</t>
        </is>
      </c>
      <c r="D20" s="21" t="n">
        <v>4</v>
      </c>
    </row>
    <row r="22">
      <c r="A22" s="19" t="inlineStr">
        <is>
          <t>Referências removidas, item a item</t>
        </is>
      </c>
    </row>
    <row r="23">
      <c r="A23" s="37" t="inlineStr">
        <is>
          <t>ID</t>
        </is>
      </c>
      <c r="B23" s="37" t="inlineStr">
        <is>
          <t>Etapa</t>
        </is>
      </c>
      <c r="C23" s="37" t="inlineStr">
        <is>
          <t>Veículo</t>
        </is>
      </c>
      <c r="D23" s="37" t="inlineStr">
        <is>
          <t>Fonte removida</t>
        </is>
      </c>
    </row>
    <row r="24">
      <c r="A24" s="15" t="inlineStr">
        <is>
          <t>F01</t>
        </is>
      </c>
      <c r="B24" s="15" t="inlineStr">
        <is>
          <t>Etapa inicial</t>
        </is>
      </c>
      <c r="C24" s="15" t="inlineStr">
        <is>
          <t>Gazeta do Povo</t>
        </is>
      </c>
      <c r="D24" s="15" t="inlineStr">
        <is>
          <t>https://www.gazetadopovo.com.br/republica/numero-de-obras-paradas-cresce-38-no-governo-lula-e-8-mil-nao-tem-previsao-de-conclusao/</t>
        </is>
      </c>
    </row>
    <row r="25">
      <c r="A25" s="15" t="inlineStr">
        <is>
          <t>F01</t>
        </is>
      </c>
      <c r="B25" s="15" t="inlineStr">
        <is>
          <t>Final (revisor)</t>
        </is>
      </c>
      <c r="C25" s="15" t="inlineStr">
        <is>
          <t>Gazeta do Povo</t>
        </is>
      </c>
      <c r="D25" s="15" t="inlineStr">
        <is>
          <t>https://www.gazetadopovo.com.br/republica/numero-de-obras-paradas-cresce-38-no-governo-lula-e-8-mil-nao-tem-previsao-de-conclusao/</t>
        </is>
      </c>
    </row>
    <row r="26">
      <c r="A26" s="15" t="inlineStr">
        <is>
          <t>F02</t>
        </is>
      </c>
      <c r="B26" s="15" t="inlineStr">
        <is>
          <t>Final (revisor)</t>
        </is>
      </c>
      <c r="C26" s="15" t="inlineStr">
        <is>
          <t>Gazeta do Povo</t>
        </is>
      </c>
      <c r="D26" s="15" t="inlineStr">
        <is>
          <t>https://www.gazetadopovo.com.br/republica/numero-de-obras-paradas-cresce-38-no-governo-lula-e-8-mil-nao-tem-previsao-de-conclusao/</t>
        </is>
      </c>
    </row>
    <row r="27">
      <c r="A27" s="15" t="inlineStr">
        <is>
          <t>F07</t>
        </is>
      </c>
      <c r="B27" s="15" t="inlineStr">
        <is>
          <t>Etapa inicial</t>
        </is>
      </c>
      <c r="C27" s="15" t="inlineStr">
        <is>
          <t>Crusoé</t>
        </is>
      </c>
      <c r="D27" s="15" t="inlineStr">
        <is>
          <t>https://crusoe.com.br/diario/equipe-de-lula-defende-pec-de-transicao-para-bancar-auxilio-brasil-de-r-600</t>
        </is>
      </c>
    </row>
    <row r="28">
      <c r="A28" s="15" t="inlineStr">
        <is>
          <t>F07</t>
        </is>
      </c>
      <c r="B28" s="15" t="inlineStr">
        <is>
          <t>Final (revisor)</t>
        </is>
      </c>
      <c r="C28" s="15" t="inlineStr">
        <is>
          <t>Crusoé</t>
        </is>
      </c>
      <c r="D28" s="15" t="inlineStr">
        <is>
          <t>https://crusoe.com.br/diario/equipe-de-lula-defende-pec-de-transicao-para-bancar-auxilio-brasil-de-r-600</t>
        </is>
      </c>
    </row>
    <row r="29">
      <c r="A29" s="15" t="inlineStr">
        <is>
          <t>F13</t>
        </is>
      </c>
      <c r="B29" s="15" t="inlineStr">
        <is>
          <t>Etapa inicial</t>
        </is>
      </c>
      <c r="C29" s="15" t="inlineStr">
        <is>
          <t>Diário do Poder</t>
        </is>
      </c>
      <c r="D29" s="15" t="inlineStr">
        <is>
          <t>https://diariodopoder.com.br/brasil-e-regioes/e02-brasil/governo-lula-amplia-beneficios-sociais-em-ano-eleitoral-com-impacto-de-r-187-bilhoes</t>
        </is>
      </c>
    </row>
    <row r="30">
      <c r="A30" s="15" t="inlineStr">
        <is>
          <t>F14</t>
        </is>
      </c>
      <c r="B30" s="15" t="inlineStr">
        <is>
          <t>Etapa inicial</t>
        </is>
      </c>
      <c r="C30" s="15" t="inlineStr">
        <is>
          <t>Gazeta do Povo</t>
        </is>
      </c>
      <c r="D30" s="15" t="inlineStr">
        <is>
          <t>https://www.gazetadopovo.com.br/republica/governo-federal-recursos-anunciados-reconstrucao-rs/</t>
        </is>
      </c>
    </row>
    <row r="31">
      <c r="A31" s="15" t="inlineStr">
        <is>
          <t>F14</t>
        </is>
      </c>
      <c r="B31" s="15" t="inlineStr">
        <is>
          <t>Final (revisor)</t>
        </is>
      </c>
      <c r="C31" s="15" t="inlineStr">
        <is>
          <t>Gazeta do Povo</t>
        </is>
      </c>
      <c r="D31" s="15" t="inlineStr">
        <is>
          <t>https://www.gazetadopovo.com.br/republica/governo-federal-recursos-anunciados-reconstrucao-rs/</t>
        </is>
      </c>
    </row>
    <row r="32">
      <c r="A32" s="15" t="inlineStr">
        <is>
          <t>F23</t>
        </is>
      </c>
      <c r="B32" s="15" t="inlineStr">
        <is>
          <t>Etapa inicial</t>
        </is>
      </c>
      <c r="C32" s="15" t="inlineStr">
        <is>
          <t>Portal Vermelho</t>
        </is>
      </c>
      <c r="D32" s="15" t="inlineStr">
        <is>
          <t>https://vermelho.org.br/?p=749499</t>
        </is>
      </c>
    </row>
    <row r="33">
      <c r="A33" s="15" t="inlineStr">
        <is>
          <t>F23</t>
        </is>
      </c>
      <c r="B33" s="15" t="inlineStr">
        <is>
          <t>Etapa inicial</t>
        </is>
      </c>
      <c r="C33" s="15" t="inlineStr">
        <is>
          <t>CartaCapital</t>
        </is>
      </c>
      <c r="D33" s="15" t="inlineStr">
        <is>
          <t>https://www.cartacapital.com.br/sociedade/para-cada-feminicidio-consumado-em-2025-houve-quase-tres-tentativas-mostra-anuario/</t>
        </is>
      </c>
    </row>
    <row r="34">
      <c r="A34" s="15" t="inlineStr">
        <is>
          <t>F23</t>
        </is>
      </c>
      <c r="B34" s="15" t="inlineStr">
        <is>
          <t>Final (revisor)</t>
        </is>
      </c>
      <c r="C34" s="15" t="inlineStr">
        <is>
          <t>CartaCapital</t>
        </is>
      </c>
      <c r="D34" s="15" t="inlineStr">
        <is>
          <t>https://www.cartacapital.com.br/sociedade/para-cada-feminicidio-consumado-em-2025-houve-quase-tres-tentativas-mostra-anuario/</t>
        </is>
      </c>
    </row>
    <row r="35">
      <c r="A35" s="15" t="inlineStr">
        <is>
          <t>F25</t>
        </is>
      </c>
      <c r="B35" s="15" t="inlineStr">
        <is>
          <t>Etapa inicial</t>
        </is>
      </c>
      <c r="C35" s="15" t="inlineStr">
        <is>
          <t>Brasil de Fato</t>
        </is>
      </c>
      <c r="D35" s="15" t="inlineStr">
        <is>
          <t>https://www.brasildefato.com.br/2025/05/30/cracolandia-o-boato-do-fim-perguntas-e-certezas-sobre-um-dos-territorios-mais-cobicados-de-sp/</t>
        </is>
      </c>
    </row>
    <row r="36">
      <c r="A36" s="15" t="inlineStr">
        <is>
          <t>F30</t>
        </is>
      </c>
      <c r="B36" s="15" t="inlineStr">
        <is>
          <t>Etapa inicial</t>
        </is>
      </c>
      <c r="C36" s="15" t="inlineStr">
        <is>
          <t>Revista Oeste</t>
        </is>
      </c>
      <c r="D36" s="15" t="inlineStr">
        <is>
          <t>https://revistaoeste.com/politica/lula-eleva-impostos-27-vezes-em-3-anos-no-planalto/</t>
        </is>
      </c>
    </row>
    <row r="37">
      <c r="A37" s="15" t="inlineStr">
        <is>
          <t>F30</t>
        </is>
      </c>
      <c r="B37" s="15" t="inlineStr">
        <is>
          <t>Etapa inicial</t>
        </is>
      </c>
      <c r="C37" s="15" t="inlineStr">
        <is>
          <t>Gazeta do Povo</t>
        </is>
      </c>
      <c r="D37" s="15" t="inlineStr">
        <is>
          <t>https://www.gazetadopovo.com.br/economia/impostos-governo-lula-carga-tributaria-aumento-cada-27-dias/</t>
        </is>
      </c>
    </row>
    <row r="38">
      <c r="A38" s="15" t="inlineStr">
        <is>
          <t>F30</t>
        </is>
      </c>
      <c r="B38" s="15" t="inlineStr">
        <is>
          <t>Final (revisor)</t>
        </is>
      </c>
      <c r="C38" s="15" t="inlineStr">
        <is>
          <t>Revista Oeste</t>
        </is>
      </c>
      <c r="D38" s="15" t="inlineStr">
        <is>
          <t>https://revistaoeste.com/politica/lula-eleva-impostos-27-vezes-em-3-anos-no-planalto/</t>
        </is>
      </c>
    </row>
    <row r="39">
      <c r="A39" s="15" t="inlineStr">
        <is>
          <t>F30</t>
        </is>
      </c>
      <c r="B39" s="15" t="inlineStr">
        <is>
          <t>Final (revisor)</t>
        </is>
      </c>
      <c r="C39" s="15" t="inlineStr">
        <is>
          <t>Gazeta do Povo</t>
        </is>
      </c>
      <c r="D39" s="15" t="inlineStr">
        <is>
          <t>https://www.gazetadopovo.com.br/economia/impostos-governo-lula-carga-tributaria-aumento-cada-27-dias/</t>
        </is>
      </c>
    </row>
    <row r="40">
      <c r="A40" s="15" t="inlineStr">
        <is>
          <t>F31</t>
        </is>
      </c>
      <c r="B40" s="15" t="inlineStr">
        <is>
          <t>Etapa inicial</t>
        </is>
      </c>
      <c r="C40" s="15" t="inlineStr">
        <is>
          <t>Fundação Perseu Abramo</t>
        </is>
      </c>
      <c r="D40" s="15" t="inlineStr">
        <is>
          <t>https://fpabramo.org.br/evento/o-pt-no-processo-constituinte/</t>
        </is>
      </c>
    </row>
    <row r="41">
      <c r="A41" s="15" t="inlineStr">
        <is>
          <t>F34</t>
        </is>
      </c>
      <c r="B41" s="15" t="inlineStr">
        <is>
          <t>Etapa inicial</t>
        </is>
      </c>
      <c r="C41" s="15" t="inlineStr">
        <is>
          <t>Jovem Pan</t>
        </is>
      </c>
      <c r="D41" s="15" t="inlineStr">
        <is>
          <t>https://jovempan.com.br/saude/sao-paulo-realiza-13-milhao-de-cirurgias-eletivas-em-2025-recorde-no-sus/</t>
        </is>
      </c>
    </row>
    <row r="42">
      <c r="A42" s="15" t="inlineStr">
        <is>
          <t>F34</t>
        </is>
      </c>
      <c r="B42" s="15" t="inlineStr">
        <is>
          <t>Final (revisor)</t>
        </is>
      </c>
      <c r="C42" s="15" t="inlineStr">
        <is>
          <t>Jovem Pan</t>
        </is>
      </c>
      <c r="D42" s="15" t="inlineStr">
        <is>
          <t>https://jovempan.com.br/saude/sao-paulo-realiza-13-milhao-de-cirurgias-eletivas-em-2025-recorde-no-sus/</t>
        </is>
      </c>
    </row>
    <row r="43">
      <c r="A43" s="15" t="inlineStr">
        <is>
          <t>F38</t>
        </is>
      </c>
      <c r="B43" s="15" t="inlineStr">
        <is>
          <t>Etapa inicial</t>
        </is>
      </c>
      <c r="C43" s="15" t="inlineStr">
        <is>
          <t>Revista Oeste</t>
        </is>
      </c>
      <c r="D43" s="15" t="inlineStr">
        <is>
          <t>https://revistaoeste.com/politica/ate-2030-educacao-pode-perder-r-423-bilhoes/</t>
        </is>
      </c>
    </row>
    <row r="44">
      <c r="A44" s="15" t="inlineStr">
        <is>
          <t>F46</t>
        </is>
      </c>
      <c r="B44" s="15" t="inlineStr">
        <is>
          <t>Etapa inicial</t>
        </is>
      </c>
      <c r="C44" s="15" t="inlineStr">
        <is>
          <t>CartaCapital</t>
        </is>
      </c>
      <c r="D44" s="15" t="inlineStr">
        <is>
          <t>https://www.cartacapital.com.br/?p=360082</t>
        </is>
      </c>
    </row>
    <row r="45">
      <c r="A45" s="15" t="inlineStr">
        <is>
          <t>F52</t>
        </is>
      </c>
      <c r="B45" s="15" t="inlineStr">
        <is>
          <t>Etapa inicial</t>
        </is>
      </c>
      <c r="C45" s="15" t="inlineStr">
        <is>
          <t>Gazeta do Povo</t>
        </is>
      </c>
      <c r="D45" s="15" t="inlineStr">
        <is>
          <t>https://www.gazetadopovo.com.br/vida-publica/jonas-suassuna-um-dos-donos-do-sitio-ja-recebeu-lula-em-angra-dos-reis-5qfgxklsyudm0i8skksk3pn8w</t>
        </is>
      </c>
    </row>
    <row r="46">
      <c r="A46" s="15" t="inlineStr">
        <is>
          <t>F52</t>
        </is>
      </c>
      <c r="B46" s="15" t="inlineStr">
        <is>
          <t>Final (revisor)</t>
        </is>
      </c>
      <c r="C46" s="15" t="inlineStr">
        <is>
          <t>Gazeta do Povo</t>
        </is>
      </c>
      <c r="D46" s="15" t="inlineStr">
        <is>
          <t>https://www.gazetadopovo.com.br/vida-publica/jonas-suassuna-um-dos-donos-do-sitio-ja-recebeu-lula-em-angra-dos-reis-5qfgxklsyudm0i8skksk3pn8w</t>
        </is>
      </c>
    </row>
    <row r="47">
      <c r="A47" s="15" t="inlineStr">
        <is>
          <t>L06</t>
        </is>
      </c>
      <c r="B47" s="15" t="inlineStr">
        <is>
          <t>Etapa inicial</t>
        </is>
      </c>
      <c r="C47" s="15" t="inlineStr">
        <is>
          <t>Gazeta do Povo</t>
        </is>
      </c>
      <c r="D47" s="15" t="inlineStr">
        <is>
          <t>https://www.gazetadopovo.com.br/economia/senado-aprova-pec-do-fim-da-escala-6x1/</t>
        </is>
      </c>
    </row>
    <row r="48">
      <c r="A48" s="15" t="inlineStr">
        <is>
          <t>L06</t>
        </is>
      </c>
      <c r="B48" s="15" t="inlineStr">
        <is>
          <t>Final (revisor)</t>
        </is>
      </c>
      <c r="C48" s="15" t="inlineStr">
        <is>
          <t>Gazeta do Povo</t>
        </is>
      </c>
      <c r="D48" s="15" t="inlineStr">
        <is>
          <t>https://www.gazetadopovo.com.br/economia/senado-aprova-pec-do-fim-da-escala-6x1/</t>
        </is>
      </c>
    </row>
    <row r="49">
      <c r="A49" s="15" t="inlineStr">
        <is>
          <t>L09</t>
        </is>
      </c>
      <c r="B49" s="15" t="inlineStr">
        <is>
          <t>Etapa inicial</t>
        </is>
      </c>
      <c r="C49" s="15" t="inlineStr">
        <is>
          <t>Gazeta do Povo</t>
        </is>
      </c>
      <c r="D49" s="15" t="inlineStr">
        <is>
          <t>https://www.gazetadopovo.com.br/mundo/carne-de-burro-na-argentina-como-o-projeto-regional-virou-noticia-distorcida-no-brasil/</t>
        </is>
      </c>
    </row>
    <row r="50">
      <c r="A50" s="15" t="inlineStr">
        <is>
          <t>L09</t>
        </is>
      </c>
      <c r="B50" s="15" t="inlineStr">
        <is>
          <t>Final (revisor)</t>
        </is>
      </c>
      <c r="C50" s="15" t="inlineStr">
        <is>
          <t>Gazeta do Povo</t>
        </is>
      </c>
      <c r="D50" s="15" t="inlineStr">
        <is>
          <t>https://www.gazetadopovo.com.br/mundo/carne-de-burro-na-argentina-como-o-projeto-regional-virou-noticia-distorcida-no-brasil/</t>
        </is>
      </c>
    </row>
    <row r="51">
      <c r="A51" s="15" t="inlineStr">
        <is>
          <t>L16</t>
        </is>
      </c>
      <c r="B51" s="15" t="inlineStr">
        <is>
          <t>Etapa inicial</t>
        </is>
      </c>
      <c r="C51" s="15" t="inlineStr">
        <is>
          <t>ICL Notícias</t>
        </is>
      </c>
      <c r="D51" s="15" t="inlineStr">
        <is>
          <t>https://iclnoticias.com.br/?p=132422</t>
        </is>
      </c>
    </row>
    <row r="52">
      <c r="A52" s="15" t="inlineStr">
        <is>
          <t>L16</t>
        </is>
      </c>
      <c r="B52" s="15" t="inlineStr">
        <is>
          <t>Final (revisor)</t>
        </is>
      </c>
      <c r="C52" s="15" t="inlineStr">
        <is>
          <t>ICL Notícias</t>
        </is>
      </c>
      <c r="D52" s="15" t="inlineStr">
        <is>
          <t>https://iclnoticias.com.br/?p=132422</t>
        </is>
      </c>
    </row>
    <row r="53">
      <c r="A53" s="15" t="inlineStr">
        <is>
          <t>L21</t>
        </is>
      </c>
      <c r="B53" s="15" t="inlineStr">
        <is>
          <t>Etapa inicial</t>
        </is>
      </c>
      <c r="C53" s="15" t="inlineStr">
        <is>
          <t>Jovem Pan</t>
        </is>
      </c>
      <c r="D53" s="15" t="inlineStr">
        <is>
          <t>https://jovempan.com.br/economia/macroeconomia/pib-do-brasil-cresce-34-em-2024-e-registra-maior-alta-desde-2021/</t>
        </is>
      </c>
    </row>
    <row r="54">
      <c r="A54" s="15" t="inlineStr">
        <is>
          <t>L22</t>
        </is>
      </c>
      <c r="B54" s="15" t="inlineStr">
        <is>
          <t>Etapa inicial</t>
        </is>
      </c>
      <c r="C54" s="15" t="inlineStr">
        <is>
          <t>Jovem Pan</t>
        </is>
      </c>
      <c r="D54" s="15" t="inlineStr">
        <is>
          <t>https://jovempan.com.br/politica/plano-de-governo-de-flavio-bolsonaro-contradiz-montagens-espalhadas-na-web/</t>
        </is>
      </c>
    </row>
    <row r="55">
      <c r="A55" s="15" t="inlineStr">
        <is>
          <t>L26</t>
        </is>
      </c>
      <c r="B55" s="15" t="inlineStr">
        <is>
          <t>Final (revisor)</t>
        </is>
      </c>
      <c r="C55" s="15" t="inlineStr">
        <is>
          <t>Gazeta do Povo</t>
        </is>
      </c>
      <c r="D55" s="15" t="inlineStr">
        <is>
          <t>https://www.gazetadopovo.com.br/economia/bets-pedem-stf-derrubar-suspensao-lula/</t>
        </is>
      </c>
    </row>
    <row r="56">
      <c r="A56" s="15" t="inlineStr">
        <is>
          <t>L28</t>
        </is>
      </c>
      <c r="B56" s="15" t="inlineStr">
        <is>
          <t>Final (revisor)</t>
        </is>
      </c>
      <c r="C56" s="15" t="inlineStr">
        <is>
          <t>Gazeta do Povo</t>
        </is>
      </c>
      <c r="D56" s="15" t="inlineStr">
        <is>
          <t>https://www.gazetadopovo.com.br/republica/numero-de-obras-paradas-cresce-38-no-governo-lula-e-8-mil-nao-tem-previsao-de-conclusao/</t>
        </is>
      </c>
    </row>
    <row r="57">
      <c r="A57" s="15" t="inlineStr">
        <is>
          <t>L31</t>
        </is>
      </c>
      <c r="B57" s="15" t="inlineStr">
        <is>
          <t>Final (revisor)</t>
        </is>
      </c>
      <c r="C57" s="15" t="inlineStr">
        <is>
          <t>CartaCapital</t>
        </is>
      </c>
      <c r="D57" s="15" t="inlineStr">
        <is>
          <t>https://www.cartacapital.com.br/esporte/caso-da-ilha-de-richarlison-envolve-amigo-de-flavio-bolsonaro-e-tentativa-de-censura-entenda/</t>
        </is>
      </c>
    </row>
    <row r="58">
      <c r="A58" s="15" t="inlineStr">
        <is>
          <t>L33</t>
        </is>
      </c>
      <c r="B58" s="15" t="inlineStr">
        <is>
          <t>Final (revisor)</t>
        </is>
      </c>
      <c r="C58" s="15" t="inlineStr">
        <is>
          <t>Sul21</t>
        </is>
      </c>
      <c r="D58" s="15" t="inlineStr">
        <is>
          <t>https://sul21.com.br/noticias/politica/2026/10/revista-piaui-flavio-bolsonaro-fez-festa-em-lancha-com-empresarios-e-prostitutas-durante-a-pandemia/</t>
        </is>
      </c>
    </row>
    <row r="59">
      <c r="A59" s="15" t="inlineStr">
        <is>
          <t>L35</t>
        </is>
      </c>
      <c r="B59" s="15" t="inlineStr">
        <is>
          <t>Etapa inicial</t>
        </is>
      </c>
      <c r="C59" s="15" t="inlineStr">
        <is>
          <t>Gazeta do Povo</t>
        </is>
      </c>
      <c r="D59" s="15" t="inlineStr">
        <is>
          <t>https://www.gazetadopovo.com.br/republica/lula-caminha-para-recorde-de-gasto-com-cartao-corporativo-em-governo-de-ostentacao/</t>
        </is>
      </c>
    </row>
    <row r="60">
      <c r="A60" s="15" t="inlineStr">
        <is>
          <t>PF10</t>
        </is>
      </c>
      <c r="B60" s="15" t="inlineStr">
        <is>
          <t>Etapa inicial</t>
        </is>
      </c>
      <c r="C60" s="15" t="inlineStr">
        <is>
          <t>Sul21</t>
        </is>
      </c>
      <c r="D60" s="15" t="inlineStr">
        <is>
          <t>https://sul21.com.br/?p=257801</t>
        </is>
      </c>
    </row>
    <row r="61">
      <c r="A61" s="15" t="inlineStr">
        <is>
          <t>PF10</t>
        </is>
      </c>
      <c r="B61" s="15" t="inlineStr">
        <is>
          <t>Etapa inicial</t>
        </is>
      </c>
      <c r="C61" s="15" t="inlineStr">
        <is>
          <t>Sul21</t>
        </is>
      </c>
      <c r="D61" s="15" t="inlineStr">
        <is>
          <t>https://sul21.com.br/?p=284333</t>
        </is>
      </c>
    </row>
    <row r="62">
      <c r="A62" s="15" t="inlineStr">
        <is>
          <t>PF10</t>
        </is>
      </c>
      <c r="B62" s="15" t="inlineStr">
        <is>
          <t>Final (revisor)</t>
        </is>
      </c>
      <c r="C62" s="15" t="inlineStr">
        <is>
          <t>Sul21</t>
        </is>
      </c>
      <c r="D62" s="15" t="inlineStr">
        <is>
          <t>https://sul21.com.br/?p=257801</t>
        </is>
      </c>
    </row>
    <row r="63">
      <c r="A63" s="15" t="inlineStr">
        <is>
          <t>PF11</t>
        </is>
      </c>
      <c r="B63" s="15" t="inlineStr">
        <is>
          <t>Etapa inicial</t>
        </is>
      </c>
      <c r="C63" s="15" t="inlineStr">
        <is>
          <t>O Antagonista</t>
        </is>
      </c>
      <c r="D63" s="15" t="inlineStr">
        <is>
          <t>https://oantagonista.com.br/brasil/policia-federal-desarticula-rede-de-trafico-no-porto-de-paranagua/</t>
        </is>
      </c>
    </row>
    <row r="64">
      <c r="A64" s="15" t="inlineStr">
        <is>
          <t>PF11</t>
        </is>
      </c>
      <c r="B64" s="15" t="inlineStr">
        <is>
          <t>Etapa inicial</t>
        </is>
      </c>
      <c r="C64" s="15" t="inlineStr">
        <is>
          <t>Gazeta do Povo</t>
        </is>
      </c>
      <c r="D64" s="15" t="inlineStr">
        <is>
          <t>https://www.gazetadopovo.com.br/curitiba/lanchas-trafico-pm-guaratuba/</t>
        </is>
      </c>
    </row>
    <row r="65">
      <c r="A65" s="15" t="inlineStr">
        <is>
          <t>PF11</t>
        </is>
      </c>
      <c r="B65" s="15" t="inlineStr">
        <is>
          <t>Final (revisor)</t>
        </is>
      </c>
      <c r="C65" s="15" t="inlineStr">
        <is>
          <t>Gazeta do Povo</t>
        </is>
      </c>
      <c r="D65" s="15" t="inlineStr">
        <is>
          <t>https://www.gazetadopovo.com.br/curitiba/lanchas-trafico-pm-guaratuba/</t>
        </is>
      </c>
    </row>
    <row r="66">
      <c r="A66" s="15" t="inlineStr">
        <is>
          <t>PF13</t>
        </is>
      </c>
      <c r="B66" s="15" t="inlineStr">
        <is>
          <t>Etapa inicial</t>
        </is>
      </c>
      <c r="C66" s="15" t="inlineStr">
        <is>
          <t>Wikipédia</t>
        </is>
      </c>
      <c r="D66" s="15" t="inlineStr">
        <is>
          <t>https://en.wikipedia.org/wiki/Trans-Amazonian_Highway</t>
        </is>
      </c>
    </row>
    <row r="67">
      <c r="A67" s="15" t="inlineStr">
        <is>
          <t>PF21</t>
        </is>
      </c>
      <c r="B67" s="15" t="inlineStr">
        <is>
          <t>Etapa inicial</t>
        </is>
      </c>
      <c r="C67" s="15" t="inlineStr">
        <is>
          <t>Gazeta do Povo</t>
        </is>
      </c>
      <c r="D67" s="15" t="inlineStr">
        <is>
          <t>https://www.gazetadopovo.com.br/economia/tcu-pe-de-meia-nao-cabe-orcamento-governo-tenta-acertar-passo/</t>
        </is>
      </c>
    </row>
    <row r="68">
      <c r="A68" s="15" t="inlineStr">
        <is>
          <t>PF21</t>
        </is>
      </c>
      <c r="B68" s="15" t="inlineStr">
        <is>
          <t>Final (revisor)</t>
        </is>
      </c>
      <c r="C68" s="15" t="inlineStr">
        <is>
          <t>Gazeta do Povo</t>
        </is>
      </c>
      <c r="D68" s="15" t="inlineStr">
        <is>
          <t>https://www.gazetadopovo.com.br/economia/tcu-pe-de-meia-nao-cabe-orcamento-governo-tenta-acertar-passo/</t>
        </is>
      </c>
    </row>
    <row r="69">
      <c r="A69" s="15" t="inlineStr">
        <is>
          <t>PF22</t>
        </is>
      </c>
      <c r="B69" s="15" t="inlineStr">
        <is>
          <t>Etapa inicial</t>
        </is>
      </c>
      <c r="C69" s="15" t="inlineStr">
        <is>
          <t>TVT</t>
        </is>
      </c>
      <c r="D69" s="15" t="inlineStr">
        <is>
          <t>https://tvtnews.com.br/?p=779640 (Censo Escolar 2025: tempo integral de 15% para 25,8%, dados MEC/Inep)</t>
        </is>
      </c>
    </row>
    <row r="70">
      <c r="A70" s="15" t="inlineStr">
        <is>
          <t>PF25</t>
        </is>
      </c>
      <c r="B70" s="15" t="inlineStr">
        <is>
          <t>Etapa inicial</t>
        </is>
      </c>
      <c r="C70" s="15" t="inlineStr">
        <is>
          <t>Jovem Pan</t>
        </is>
      </c>
      <c r="D70" s="15" t="inlineStr">
        <is>
          <t>https://jovempan.com.br/politica/entenda-os-proximos-passos-da-pec-da-maioridade-penal-no-congresso/</t>
        </is>
      </c>
    </row>
    <row r="71">
      <c r="A71" s="15" t="inlineStr">
        <is>
          <t>PF25</t>
        </is>
      </c>
      <c r="B71" s="15" t="inlineStr">
        <is>
          <t>Final (revisor)</t>
        </is>
      </c>
      <c r="C71" s="15" t="inlineStr">
        <is>
          <t>Jovem Pan</t>
        </is>
      </c>
      <c r="D71" s="15" t="inlineStr">
        <is>
          <t>https://jovempan.com.br/politica/entenda-os-proximos-passos-da-pec-da-maioridade-penal-no-congresso/</t>
        </is>
      </c>
    </row>
    <row r="72">
      <c r="A72" s="15" t="inlineStr">
        <is>
          <t>PF27</t>
        </is>
      </c>
      <c r="B72" s="15" t="inlineStr">
        <is>
          <t>Etapa inicial</t>
        </is>
      </c>
      <c r="C72" s="15" t="inlineStr">
        <is>
          <t>CartaCapital</t>
        </is>
      </c>
      <c r="D72" s="15" t="inlineStr">
        <is>
          <t>https://www.cartacapital.com.br/?p=374005</t>
        </is>
      </c>
    </row>
    <row r="73">
      <c r="A73" s="15" t="inlineStr">
        <is>
          <t>PF27</t>
        </is>
      </c>
      <c r="B73" s="15" t="inlineStr">
        <is>
          <t>Final (revisor)</t>
        </is>
      </c>
      <c r="C73" s="15" t="inlineStr">
        <is>
          <t>CartaCapital</t>
        </is>
      </c>
      <c r="D73" s="15" t="inlineStr">
        <is>
          <t>https://www.cartacapital.com.br/?p=374005</t>
        </is>
      </c>
    </row>
    <row r="74">
      <c r="A74" s="15" t="inlineStr">
        <is>
          <t>PL01</t>
        </is>
      </c>
      <c r="B74" s="15" t="inlineStr">
        <is>
          <t>Etapa inicial</t>
        </is>
      </c>
      <c r="C74" s="15" t="inlineStr">
        <is>
          <t>O Cafezinho</t>
        </is>
      </c>
      <c r="D74" s="15" t="inlineStr">
        <is>
          <t>https://www.ocafezinho.com/2026/05/31/fiol-expoe-o-abismo-entre-o-plano-nacional-de-ferrovias-e-a-realidade-dos-trilhos-no-brasil/amp/</t>
        </is>
      </c>
    </row>
    <row r="75">
      <c r="A75" s="15" t="inlineStr">
        <is>
          <t>PL11</t>
        </is>
      </c>
      <c r="B75" s="15" t="inlineStr">
        <is>
          <t>Final (revisor)</t>
        </is>
      </c>
      <c r="C75" s="15" t="inlineStr">
        <is>
          <t>Gazeta do Povo</t>
        </is>
      </c>
      <c r="D75" s="15" t="inlineStr">
        <is>
          <t>https://www.gazetadopovo.com.br/economia/bets-pedem-stf-derrubar-suspensao-lula/</t>
        </is>
      </c>
    </row>
  </sheetData>
  <mergeCells count="1">
    <mergeCell ref="A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110" customWidth="1" min="2" max="2"/>
  </cols>
  <sheetData>
    <row r="1">
      <c r="A1" s="38" t="inlineStr">
        <is>
          <t>Vídeo analisado</t>
        </is>
      </c>
      <c r="B1" s="39" t="inlineStr">
        <is>
          <t>https://youtu.be/TgK9ZAiNi_4 — "Flávio Bolsonaro ESTÁ PRONTO!! Ele foi BRILHANTE no DEBATE da GLOBO contra o LULA!!! | Completo" (canal Marco Feliciano, 1h54min58s)</t>
        </is>
      </c>
    </row>
    <row r="2">
      <c r="A2" s="38" t="inlineStr">
        <is>
          <t>Evento</t>
        </is>
      </c>
      <c r="B2" s="39" t="inlineStr">
        <is>
          <t>Último debate do 2º turno da eleição presidencial de 2026, TV Globo, 23/10/2026. Mediação: César Tralli.</t>
        </is>
      </c>
    </row>
    <row r="3">
      <c r="A3" s="38" t="inlineStr">
        <is>
          <t>Observação sobre a fonte</t>
        </is>
      </c>
      <c r="B3" s="39" t="inlineStr">
        <is>
          <t>O título do vídeo é opinativo e o canal é de um político aliado de um dos candidatos. A checagem usa só as falas do debate, sem levar o título em conta.</t>
        </is>
      </c>
    </row>
    <row r="4">
      <c r="A4" s="38" t="inlineStr">
        <is>
          <t>Transcrição</t>
        </is>
      </c>
      <c r="B4" s="39" t="inlineStr">
        <is>
          <t>Legenda automática do YouTube (pt). Nomes e números podem ter erros de transcrição; nesses casos, a declaração foi interpretada pelo contexto.</t>
        </is>
      </c>
    </row>
    <row r="5">
      <c r="A5" s="38" t="inlineStr">
        <is>
          <t>Seleção das declarações</t>
        </is>
      </c>
      <c r="B5" s="39" t="inlineStr">
        <is>
          <t>Foram incluídas afirmações factuais verificáveis (números, fatos, atos e falas atribuídas). Ficaram de fora promessas, opiniões, ataques pessoais e frases genéricas.</t>
        </is>
      </c>
    </row>
    <row r="6">
      <c r="A6" s="38" t="inlineStr">
        <is>
          <t>Processo</t>
        </is>
      </c>
      <c r="B6" s="39" t="inlineStr">
        <is>
          <t>1) Um agente pesquisador fez uma busca independente na internet para cada declaração (lotes de 7). 2) Um agente revisor independente refez a busca do zero, conferiu as fontes e o raciocínio do primeiro e deu o veredito final. 3) O placar conta o veredito final do revisor.</t>
        </is>
      </c>
    </row>
    <row r="7">
      <c r="A7" s="38" t="inlineStr">
        <is>
          <t>Data da checagem</t>
        </is>
      </c>
      <c r="B7" s="39" t="inlineStr">
        <is>
          <t>24/10/2026</t>
        </is>
      </c>
    </row>
    <row r="8">
      <c r="A8" s="40" t="inlineStr">
        <is>
          <t>Verdadeiro</t>
        </is>
      </c>
      <c r="B8" s="39" t="inlineStr">
        <is>
          <t>A afirmação confere com os dados.</t>
        </is>
      </c>
    </row>
    <row r="9">
      <c r="A9" s="41" t="inlineStr">
        <is>
          <t>Verdadeiro, mas impreciso</t>
        </is>
      </c>
      <c r="B9" s="39" t="inlineStr">
        <is>
          <t>A essência está correta, mas há números ou detalhes aproximados ou incompletos.</t>
        </is>
      </c>
    </row>
    <row r="10">
      <c r="A10" s="42" t="inlineStr">
        <is>
          <t>Exagerado</t>
        </is>
      </c>
      <c r="B10" s="39" t="inlineStr">
        <is>
          <t>Tem base real, mas está inflado, distorcido ou fora de contexto.</t>
        </is>
      </c>
    </row>
    <row r="11">
      <c r="A11" s="43" t="inlineStr">
        <is>
          <t>Falso</t>
        </is>
      </c>
      <c r="B11" s="39" t="inlineStr">
        <is>
          <t>Os dados contradizem a afirmação.</t>
        </is>
      </c>
    </row>
    <row r="12">
      <c r="A12" s="44" t="inlineStr">
        <is>
          <t>Sem evidência</t>
        </is>
      </c>
      <c r="B12" s="39" t="inlineStr">
        <is>
          <t>Não foi possível comprovar nem refutar com fontes confiáveis (inclui fatos muito recentes ainda sem registro).</t>
        </is>
      </c>
    </row>
    <row r="13">
      <c r="A13" s="38" t="inlineStr">
        <is>
          <t>Limitações</t>
        </is>
      </c>
      <c r="B13" s="39" t="inlineStr">
        <is>
          <t>Checagem automatizada feita por IA com busca na web. Pode conter erros, sobretudo em fatos de 2026 com pouca cobertura. Confira as fontes antes de republicar. Fontes usadas: apenas dados oficiais de órgãos públicos e portais de notícias; agências de checagem foram excluídas de propósito.</t>
        </is>
      </c>
    </row>
    <row r="14">
      <c r="A14" s="38" t="inlineStr">
        <is>
          <t>Promessas: seleção</t>
        </is>
      </c>
      <c r="B14" s="39" t="inlineStr">
        <is>
          <t>Entraram promessas concretas feitas no debate (obras, programas, leis, metas). Ficaram de fora frases genéricas como "vou devolver o seu poder de compra". Flávio fez mais promessas concretas que Lula, que em geral defendeu o que já está em andamento.</t>
        </is>
      </c>
    </row>
    <row r="15">
      <c r="A15" s="38" t="inlineStr">
        <is>
          <t>Promessas: critérios</t>
        </is>
      </c>
      <c r="B15" s="39" t="inlineStr">
        <is>
          <t>Viabilidade (%) = chance estimada de a promessa ser cumprida em boa parte até 2030. Pesos considerados: custo e espaço fiscal (arcabouço, despesas obrigatórias), exigências legais (lei, lei complementar, PEC, cláusula pétrea), viabilidade no Congresso, competência federativa, prazo técnico (licenciamento, estágio do projeto), dados regionais e histórico de projetos parecidos. Faixas: Alta 70-100%, Média 40-69%, Baixa 0-39%.</t>
        </is>
      </c>
    </row>
    <row r="16">
      <c r="A16" s="38" t="inlineStr">
        <is>
          <t>Promessas: processo</t>
        </is>
      </c>
      <c r="B16" s="39" t="inlineStr">
        <is>
          <t>Um agente analista estimou o % de cada promessa (lotes de 5). Um revisor independente refez a pesquisa e definiu o % final; o % inicial fica registrado na aba Promessas. Fontes: apenas dados oficiais e portais de notícias, sem agências de checagem.</t>
        </is>
      </c>
    </row>
    <row r="17">
      <c r="A17" s="38" t="inlineStr">
        <is>
          <t>Promessas: limitação</t>
        </is>
      </c>
      <c r="B17" s="39" t="inlineStr">
        <is>
          <t>O % é uma estimativa analítica, não uma previsão estatística. Ele depende da composição do Congresso eleito, do cenário econômico e de decisões que ainda não foram tomadas.</t>
        </is>
      </c>
    </row>
    <row r="18">
      <c r="A18" s="38" t="inlineStr">
        <is>
          <t>Versão com fontes filtradas</t>
        </is>
      </c>
      <c r="B18" s="39" t="inlineStr">
        <is>
          <t>Esta cópia remove as referências de veículos com viés político declarado ou baixa confiabilidade (lista na aba "Fontes excluídas"), além de frases das explicações que dependiam deles. Os dados que vinham só desses veículos foram desconsiderados: os 32 itens afetados foram reavaliados por um agente e conferidos por um revisor independente, usando só as fontes restantes e buscas novas que bloqueavam os sites excluídos. O L16 foi refeito à parte. Os placares foram recalculados. Nenhum item ficou sem fonte.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16"/>
  <sheetViews>
    <sheetView workbookViewId="0">
      <selection activeCell="A1" sqref="A1"/>
    </sheetView>
  </sheetViews>
  <sheetFormatPr baseColWidth="8" defaultRowHeight="15"/>
  <cols>
    <col width="9" customWidth="1" min="1" max="1"/>
    <col width="150" customWidth="1" min="2" max="2"/>
  </cols>
  <sheetData>
    <row r="1">
      <c r="A1" s="3" t="inlineStr">
        <is>
          <t>Minuto</t>
        </is>
      </c>
      <c r="B1" s="3" t="inlineStr">
        <is>
          <t>Texto (legenda automática)</t>
        </is>
      </c>
    </row>
    <row r="2">
      <c r="A2" s="12" t="inlineStr">
        <is>
          <t>00:00</t>
        </is>
      </c>
      <c r="B2" s="39" t="inlineStr">
        <is>
          <t>Bem-vindos aos Estúdios Globo, pro último debate com os candidatos [música] que disputam a presidência da República neste segundo turno. Uma oportunidade para você, eleitor e eleitora, avaliar as propostas dos candidatos [música] antes da votação decisiva de domingo. Nós recebemos aqui Flávio Bolsonaro do PL e Luís Inácio Lula da Silva do PT. Muito obrigado pela presença dos senhores. A plateia pode aproveitar esse momento para dar boas-vindas aos dois candidatos com uma salva de palmas. [aplausos] [música] » [música] » Agradeço muito aqui a presença de todos e a partir de agora eu peço à plateia que fique em silêncio para não prejudicar os candidatos e principalmente os eleitores. A nossa transmissão é ao vivo aqui na Globo, na</t>
        </is>
      </c>
    </row>
    <row r="3">
      <c r="A3" s="12" t="inlineStr">
        <is>
          <t>00:01</t>
        </is>
      </c>
      <c r="B3" s="39" t="inlineStr">
        <is>
          <t>Globo News, no G1 e no Globo Play. Vamos juntos agora conferir as regras do nosso debate. » O debate tem quatro blocos. Os três primeiros são de temas determinados, o quarto de tema livre e com as considerações finais. As regras priorizam o interesse do eleitor e esse objetivo fica evidente no centro do nosso cenário. O mapa gigante do Brasil é um convite para que os candidatos apresentem propostas ao país. No primeiro bloco estarão em debate planos para cinco regiões do Brasil: Sul, Sudeste, Centro-Oeste, Norte e Nordeste. O sexto tema neste primeiro bloco é estratégico. Que projetos os candidatos têm no setor de infraestrutura para aumentar as exportações brasileiras. O mapa vai iluminar rodovias, ferrovias, hidrovias e portos. O segundo bloco e o</t>
        </is>
      </c>
    </row>
    <row r="4">
      <c r="A4" s="12" t="inlineStr">
        <is>
          <t>00:02</t>
        </is>
      </c>
      <c r="B4" s="39" t="inlineStr">
        <is>
          <t>terceiro tem 10 questões fundamentais para o futuro do Brasil. E os candidatos vão escolher seis desses temas, três no segundo bloco e três no terceiro bloco. Os assuntos são os seguintes: endividamento dos brasileiros, ensino integral, dívida pública, inteligência artificial, meio ambiente, políticas sociais, reformas, relações com Estados Unidos e China, retomada de territórios, Sistema Único de Saúde. Sobre a dinâmica do debate. As perguntas são de candidato para candidato e vai haver um banco de tempo em cada rodada. Nos três primeiros blocos, o candidato tem um total de 3 minutos para a pergunta e a réplica, e o adversário terá a mesma quantidade de tempo, 3 minutos para a resposta e a tréplica. Nesses momentos, quem expõe sua proposta pode andar livremente pelo</t>
        </is>
      </c>
    </row>
    <row r="5">
      <c r="A5" s="12" t="inlineStr">
        <is>
          <t>00:03</t>
        </is>
      </c>
      <c r="B5" s="39" t="inlineStr">
        <is>
          <t>cenário e nessa hora o outro candidato deve aguardar no púlpito até o fim da manifestação do adversário. No quarto e último bloco de tema livre, cada candidato terá 8 minutos para usar o banco de tempo como quiser e quantas vezes quiser até o cronômetro zerar. Nessa hora, os candidatos podem andar livremente pelo cenário, mas sem invadir o espaço do outro. Este é um debate para as ideias circularem livremente em um ambiente criado e construído para isso. Os candidatos apresentam suas visões pro futuro do país e dezenas de milhões de eleitores comparam. É a democracia ao vivo na Globo. » Se um candidato fizer ofensas pessoais a outro, o candidato ofendido poderá pedir direito de resposta. Para isso, deverá levantar a mão em silêncio. A nossa produção vai avaliar se o direito de resposta será ou não concedido. Em</t>
        </is>
      </c>
    </row>
    <row r="6">
      <c r="A6" s="12" t="inlineStr">
        <is>
          <t>00:04</t>
        </is>
      </c>
      <c r="B6" s="39" t="inlineStr">
        <is>
          <t>respeito ao eleitor, nós esperamos que os candidatos façam um debate de alto nível com propostas para governar o país. O fato ou fake, serviço de checagem do grupo Globo, vai verificar as declarações dos dois candidatos ao longo do debate. Neste momento, mais de 30 jornalistas já estão trabalhando juntos com essa missão em busca do máximo rigor e agilidade. Você pode acompanhar ao vivo as nossas checagens feitas durante e depois do debate. Para isso, basta apontar o seu celular para esse QRcode aqui que tá aparecendo na tela. Ele vai te levar pro G1 e no G1 você encontra as checagens das entrevistas concedidas por Flávio Bolsonaro e Lula à jornalista Renata Lopret aqui na Globo na semana passada. E ainda as verificações feitas durante o</t>
        </is>
      </c>
    </row>
    <row r="7">
      <c r="A7" s="12" t="inlineStr">
        <is>
          <t>00:05</t>
        </is>
      </c>
      <c r="B7" s="39" t="inlineStr">
        <is>
          <t>debate da Band no último domingo. Um outro caminho para você acompanhar as nossas checagens é entrar nos sites jornais O Globo, Valor Econômico Extra e no site da Rádio CBN. Também estão fazendo a checagem do debate de hoje outras importantes agências de verificação de fatos, como a Lupa em parceria com o jornal Folha de São Paulo, a agência aos fatos, o Wall confere, o Estadão verifica e ainda o projeto comprova. Vamos então começar o nosso debate. Lembrando que neste primeiro bloco o tema é determinado. A pergunta deve abordar questões, propostas e desafios relacionados à região ou ao tema sorteados. Quem está com a palavra pode andar pelo cenário sem ser interrompido e o adversário aguarda no púlpito a vez de falar. Vou então fazer o sorteio aqui</t>
        </is>
      </c>
    </row>
    <row r="8">
      <c r="A8" s="12" t="inlineStr">
        <is>
          <t>00:06</t>
        </is>
      </c>
      <c r="B8" s="39" t="inlineStr">
        <is>
          <t>para ver quem vai começar o nosso debate, quem abre o debate essa noite e quem abre o debate é o candidato Flávio Bolsonaro do PL. Candidatos, se o senhor quiser vir já pro mapa, eu vou sortear agora a região ou o tema. E o tema é infraestrutura e exportação. O senhor vai ver aí no mapa as principais rotas usadas para escoar a produção brasileira. As rodovias estão em laranja, as ferrovias estão em verde, as hidrovias em azul e na costa brasileira os nossos principais portos. Quais são os investimentos fundamentais em infraestrutura para aumentar as exportações brasileiras e reduzir o custo Brasil? Então, peço ao senhor agora que, por favor, elabore a sua pergunta sobre esse tema.</t>
        </is>
      </c>
    </row>
    <row r="9">
      <c r="A9" s="12" t="inlineStr">
        <is>
          <t>00:07</t>
        </is>
      </c>
      <c r="B9" s="39" t="inlineStr">
        <is>
          <t>» Boa noite a senhora senhor que tá em casa me acompanhando, a sua família. Boa noite, Tral. Obrigado pelo grupo Globo a oportunidade de estar aqui debatendo. Boa noite, meu concorrente candidato. Bom, nós pegamos o Brasil lá em 2019 com cerca de 14.000 obras inacabadas e apesar de todos os problemas, a gente entregou o Brasil com um pouco mais de 8.000 obras inacabadas. Agora, neste ano, o TCU, o Tribunal de Contas da União, acaba de soltar um relatório que existem mais de 11.500 obras paralisadas do atual governo. Ou seja, o Brasil voltou a ser um grande cemitério de obras. Candidato, como é que você vai conseguir entregar toda essa infraestrutura que tá aqui nesse mapa se você em 4 anos não entregou as obras necessárias? » Primeiro, [limpando a garganta] boa noite, Tral. Boa noite, candidato. Boa noite, povo brasileiro. E eu quero agradecer a Deus</t>
        </is>
      </c>
    </row>
    <row r="10">
      <c r="A10" s="12" t="inlineStr">
        <is>
          <t>00:08</t>
        </is>
      </c>
      <c r="B10" s="39" t="inlineStr">
        <is>
          <t>a oportunidade de poder estar participando de um debate num momento tão especial como do Brasil. Eu penso que se o candidato conhecesse um pouco o Brasil, ele saberia que em nenhum momento da história do país se investiu tanto em obra de infraestrutura como nós investimos nesses últimos anos. Só para ter ideia, com a participação inclusive de todos os governadores, de todos os partidos políticos, nós anunciamos um programa de aceleração do crescimento de 1 trilhão700 bilhões, do quase 800 já foram executados nesse país, criando ferrovia, rodovia, hidrovia, estrada e portos e aeroportos para que a gente possa fazer com que o Brasil se transforme num grande país produtor de alimento, mas num grande país todo alimento. E o meu adversário sabe que qualquer coisa que</t>
        </is>
      </c>
    </row>
    <row r="11">
      <c r="A11" s="12" t="inlineStr">
        <is>
          <t>00:09</t>
        </is>
      </c>
      <c r="B11" s="39" t="inlineStr">
        <is>
          <t>ele pensar de infraestrutura, nós fizemos três ou quatro vezes mais do que o governo deles fizeram. E mais importante saber ainda é que nós herdamos 6.000 1000 obras paradas e obviamente que você não consegue fazer obras de infraestrutura no mesmo ano que você começa. As obras que estão sendo feitas, eu vou continuá-las porque eu vou ganhar as eleições. » A sua réplica, candidato Flávio. » Bom, eu quero investir em infraestrutura. Eu vou rasgar esse Brasil de ferrovias. Eu vou concluir a transnodestina, que é para escoar a produção do nosso país para os portos de SUAP, no Pernambuco, e também para o porto de PEN. Eu quero dizer para vocês que eu vou fazer o eixo sul da ferroia que tá faltando, ligando o Centro-Oeste até o oeste do Paraná, oeste de Santa Catarina, que são regiões grandes produtoras de suinos, de proteínas. E é para lá que tem que chegar esses grãos de uma forma mais barata, mais rápida e com menos desperdício. Eu vou fazer de</t>
        </is>
      </c>
    </row>
    <row r="12">
      <c r="A12" s="12" t="inlineStr">
        <is>
          <t>00:10</t>
        </is>
      </c>
      <c r="B12" s="39" t="inlineStr">
        <is>
          <t>novo, eu vou investir muito aqui na concessão de rodovias, como fez o presidente Bolsonaro. Eu vou manter uma regra que ele colocou lá. Todas as concessões de rodovias que forem feitas no Brasil vão garantir que é pedágio zero para motociclistas. E muito mais do que isso, eu vou investir e vou tratar a internet como infraestrutura, como fez, como começou a fazer o presidente Bolsonaro. Nós instalamos mais de 21.300 pontos de internet em vários locais do Brasil, atingindo mais de 3100 cidades e abrangendo mais de 11 mil, atendendo a mais de 11 milhões de brasileiros. Aonde, gente? em escolas, em unidades de saúde, nós vamos tratar a internet como estrutura para levar para as aldeias indígenas a conexão via internet. Esse é o Brasil que eu quero, um Brasil conectado. A internet é importante, por exemplo, paraa agricultura de precisão, o nosso agro pode crescer ainda mais se tiver estrutura, infraestrutura de internet</t>
        </is>
      </c>
    </row>
    <row r="13">
      <c r="A13" s="12" t="inlineStr">
        <is>
          <t>00:11</t>
        </is>
      </c>
      <c r="B13" s="39" t="inlineStr">
        <is>
          <t>para garantir que a nossa produção seja ainda mais elevada. Eu vou concluir também as ferrovias de integração Centro-Oeste, Centro-Oeste, Oeste. Eu vou concluir a a ferrovia de integração leste, oeste. É assim que eu vou conseguir entregar a infraestrutura para esse país, garantindo que essas ferrovias que estão sendo cortadas aqui nesse mapa possam de fato escoar a nossa produção. Eu vou continuar a concessão de portos, porque é pelos portos que nós vamos conseguir fazer garantir a segurança alimentar de outros países que o Brasil tem uma grande oportunidade agora. de ser o garantidor dessa segurança alimentar, garantir que o nosso agro tenha para quem vender. » Votado. Candidato Flávio. Candidato Lula, o senhor tem 1 minuto e 33 segundos paraa sua trep. O meu adversário parece aqueles alunos que se preparam para fazer o vestibular e eles conseguem decorar, mas não consegue aprender. Veja, se ele olhasse atenção o que tá acontecendo no Brasil, se acompanhasse a imprensa, ele percebe o seguinte: nós</t>
        </is>
      </c>
    </row>
    <row r="14">
      <c r="A14" s="12" t="inlineStr">
        <is>
          <t>00:12</t>
        </is>
      </c>
      <c r="B14" s="39" t="inlineStr">
        <is>
          <t>estamos fazendo uma rodovia muito importante que ninguém teve coragem de fazer, que liga Porto Velho a Manaus, que é a BR319. Nós estamos fazendo a tr nordestina, a Fiol e a FICO. Não é que vamos fazer, estamos fazendo. Nós estamos fazendo a ferra da raras, sabe? Lá no Rio de Janeiro, que é uma obra de quase R 12 bilhões deais. Nós estamos fazendo e fizemos o canal O controle de Florianópolis. Nós estamos investindo, aliás, o tú de o tú o túnel de Santos, quem tá colocando ele para fazer somos nós, tanto do orçamento quanto financiamento do BNDS. Estamos fazendo o novo porto da Nova Manaus e estamos fazendo VLT de Salvador, metrô em São Paulo, Belo Horizonte, BRT no Rio de Janeiro, ou seja, todas as obras de infraestrutura, além de estar muito próximo de concluir a tão sonhada transposição de São Francisco que Dom Pedro tentou fazer em 1846 e não conseguiu. Portanto, se tem um governo,</t>
        </is>
      </c>
    </row>
    <row r="15">
      <c r="A15" s="12" t="inlineStr">
        <is>
          <t>00:13</t>
        </is>
      </c>
      <c r="B15" s="39" t="inlineStr">
        <is>
          <t>eu queria pedir pro Google para alguém poder publicar se tem algum momento da história recente que algum governo investiu tanto em obra de infraestrutura como nós estamos investindo nesse país. » Candidato Lula, é a vez do senhor fazer a pergunta. Eu vou sortear a região do país e peço ao senhor que faça o a pergunta necessariamente sobre a região, região sudeste. Eu queria fazer uma pergunta ao meu adversário. Vira e mexe. Ele tem tentado acompanhar aquilo que nós estamos fazendo no governo. Ele tenta fazer. Eu vou fazer, eu vou fazer. Eu até preparei uma lista das coisas que nós já estamos fazendo, que ele fala que vai fazer. Eu queria fazer a seguinte pergunta para ele, uma pergunta simples, que é o seguinte. Ou seja,</t>
        </is>
      </c>
    </row>
    <row r="16">
      <c r="A16" s="12" t="inlineStr">
        <is>
          <t>00:14</t>
        </is>
      </c>
      <c r="B16" s="39" t="inlineStr">
        <is>
          <t>ele tem noção de quanto custaria o salário mínimo em São Paulo e no Sudeste se não fosse os governos do PT? falar para senhor e pra senhora que mora na região Sudeste. Hoje é dia 23 de outubro, o mês ainda não acabou. O seu salário já acabou? O seu poder de compra foi destruído pelo atual governo? Porque ele gasta tanto, ele joga a taxa de juro lá em cima e puxa a sua dívida junto, Lula, por que que você endividou o povo brasileiro desse jeito? Essa grande bola de neve continua enrolando o povo brasileiro. » Você não tem noção de quanto é o salários mínimos se não fosse o governo do PT. » [risadas] » Se não fosse os governos do PT, Lula e Dilma, se a gente não tivesse</t>
        </is>
      </c>
    </row>
    <row r="17">
      <c r="A17" s="12" t="inlineStr">
        <is>
          <t>00:15</t>
        </is>
      </c>
      <c r="B17" s="39" t="inlineStr">
        <is>
          <t>reajustando o salário acima do acima [limpando a garganta] da inflação, sabe quanto seria o salário mínimo por conta do seu pai do Tem que não aumentaram seria R$ 900. Eu vou repetir. Se não fosse o governo do PT aumentar o salário mínimo acima da inflação, colocando o PIB no orçamento, o salário mínimo seria apenas R$ 900. É isso que eles querem pro Brasil. É por isso que ele segue o Milei e nós [limpando a garganta] entendemos que nós vamos continuar aumentando o salário de mínimo e aumentando muito o salário mínimo. » Candidato Lula, » quero falar para você que tá em casa, quero falar para você que tá em casa. » Candidato Flávio, por favor, só um segundinho. Só quero lembrar o candidato Lula que ele estava na réplica dele. Ele ainda tem 1 minuto e 32 segundos. » Ele tinha, ele tinha, né? Ele não usou. O senhor não vai usar o tempo. Então candidato Flávio, eu vou usar. É que eu álou o tempo que ele queria dar um tempo para ele falar mais para ver. Fala então</t>
        </is>
      </c>
    </row>
    <row r="18">
      <c r="A18" s="12" t="inlineStr">
        <is>
          <t>00:16</t>
        </is>
      </c>
      <c r="B18" s="39" t="inlineStr">
        <is>
          <t>falar de mim » candidato. Nessa dinâmica, só lembrando, os senhores têm 3 minutos para pergunta e para réplica. Tem que consumir os 3 minutos na pergunta e na réplica e 3 minutos para resposta e paraa tréplica. O tempo tem que ser consumido dentro dessa dinâmica. Então lembra o senhor aqui, por favor, o senhor tem 1 minuto e 32 segundos. Como é que seência o candidato Flávio, como é que pode alguém querer ser presidente da República de um país e ele sequer sabe quanto seria o salário mínimo se a prática do reajuste fosse a que eles adotaram, eles e outros presidentes, porque só pensou em aumentar, sabe, os aposentados da ativa, os trabalhadores falarinos da ativa, os aposentados, os pensionistas, o BPC, os governos do PT. É por isso que nós chegamos ao 1600, porque senão seria 900. Mas eu queria terminar com outra pergunta para ele,</t>
        </is>
      </c>
    </row>
    <row r="19">
      <c r="A19" s="12" t="inlineStr">
        <is>
          <t>00:17</t>
        </is>
      </c>
      <c r="B19" s="39" t="inlineStr">
        <is>
          <t>porque eu quero saber se ele tá preparado pro cara que ele tá disputando. Você recentemente ridicularizou a minha proposta de tarifa zero, porque eu disse que como nós aprovamos o fim da escala 6 por1, os trabalhadores vão ter dois dias para ficar em casa. É justo que a gente possa garantir que ele tem o direito de visitar o parente, visitar um filho, visitar um compadre e comer na casa de alguém, ou seja, sair de casa, mas ele nem sempre tem o recurso. Então nós propusemos tarifa [limpando a garganta] zero para os trabalhadores no final de semana. Eu quero saber do candidato, você é contra ou a favor a tarifa zero no final de semana para os candidatos, para os trabalhadores brasileiros? Bom candidato, eu sou a favor da tarifa zero para os ônibus nos finais de semana. Sou super a favor disso. Eu acho que o trabalhador, você que não sora de lazer, merece sim ter o transporte gratuito.</t>
        </is>
      </c>
    </row>
    <row r="20">
      <c r="A20" s="12" t="inlineStr">
        <is>
          <t>00:18</t>
        </is>
      </c>
      <c r="B20" s="39" t="inlineStr">
        <is>
          <t>Agora não adianta nada, Lulada mínimo ser de R$621. Se você dá com uma mão e tira com os nove dedos, você simplesmente invade o bolso do contribuinte. Você implementou a carga tributária mais alta desse país na história. Até agora, com a reforma tributária, ninguém sabe quanto vai ser o valor do imposto de valor agregado o IRVA, que é o novo imposto que ele vai começar a cobrar a partir do ano que vem, estima-se que seja de 28%. Ele já tinha que ter enviado pro Congresso Nacional um projeto de lei falando qual é a alíquota. Sabe por que ele não fez? Porque vai ser o maior IVA do mundo. O brasileiro vai pagar o maior imposto do mundo na era Lula. Eu sei o que que é, gente, porque chegar no mercado e ter dificuldade de encher o carrinho com na época do presidente Bolsonaro, você tinha lá os seus R$ 600 do Bolsa Família, que foi o Bolsonaro que deu no mínimo R$ 600, e você conseguia encher um carrinho de compra. Hoje os R$ 600 não enche mais o carrinho. Você sabe por que não enche? Por causa desse governo. Porque como ele gasta muito mais do que ele arrecada e ele precisa aumentar</t>
        </is>
      </c>
    </row>
    <row r="21">
      <c r="A21" s="12" t="inlineStr">
        <is>
          <t>00:19</t>
        </is>
      </c>
      <c r="B21" s="39" t="inlineStr">
        <is>
          <t>impostos para cobrir o que ele tá gastando, tirando o dinheiro do seu bolso. Sabe qual é a consequência disso, gente? inflação. A inflação chegou com toda a força. Nós temos uma das maiores taxas de juros do mundo. É a mesma taxa que reajusta a sua dívida. Sim, a dívida que você tá devendo pro banco, ela é atrelada essa taxa de juro oficial. E é por isso que hoje você chega no mercado, gente, e já tem lá disponível uma caixa de ovo, uma dúia de ovos com 10 ovos. A dúzia virou 10. É por isso que você chega lá, tem um sabão em pó de 1 kg, que na verdade era de 1 kg, agora é de 800 g, que rende 1 kg. Sabe por quê? Porque as indústrias têm que reduzir a quantidade de mercadoria que elas estão colocando nas embalagens. A barra de chocolate que antes tinha 120 g, agora tem só 80. O rolo de papel higiênico, que só tinha 40 m, hoje tem 20. É porque tá difícil comprar. Quando você consegue comprar, você tá levando menos pra sua casa. Esse é o legado do atual governo.</t>
        </is>
      </c>
    </row>
    <row r="22">
      <c r="A22" s="12" t="inlineStr">
        <is>
          <t>00:20</t>
        </is>
      </c>
      <c r="B22" s="39" t="inlineStr">
        <is>
          <t>Lula. Por que que você endividou tanto o povo brasileiro? Por que que as coisas estão tão caras? Em 4 anos de governo, você consegue comprar mais ou menos com o seu salário. Então não adianta nada você querer reajustar o salário mínimo. E eu vou reajustar o salário mínimo acima da inflação para combater a sua fake news. Eu não vou deixar, não vou fazer economia em cima dos mais pobres, mas eu vou organizar essa economia para devolver o seu o seu poder de compra. Você vai voltar a ter dinheiro no bolso. » Candidato Flávio, agora é a sua vez de fazer a pergunta. Eu vou sortear a região do país. Peço ao senhor que também faça o questionamento sobre a região do país. A região é Centro-Oeste. A região Centro-Oeste é a região que mais produz alimentos no nosso Brasil e infelizmente o nosso agro, que é orgulho mundial tá sendo massacrado pelo atual governo. Quem produz tá sufocado, tá intimidado, não consegue tomar crédito</t>
        </is>
      </c>
    </row>
    <row r="23">
      <c r="A23" s="12" t="inlineStr">
        <is>
          <t>00:21</t>
        </is>
      </c>
      <c r="B23" s="39" t="inlineStr">
        <is>
          <t>porque tá muito caro. Lula, por que que você tá trata o agro com tanta raiva? Por que você humilha tanto as pessoas que produzem alimento no nosso país? Você diz que as pessoas têm que se ajoelhar aos seus pés. Por que tanta arrogância? Por que tanta petulância, Lula? Por que você chama o agro de fascista? Por que que você trata o agro dessa forma tão tão má? Ô galera, dá um dá um Google aí. Dá um Google no que ele falou. que vocês vão perceber que ele é aquele cara que estuda para decorar e não para saber. Dá um Google para vocês saberem que é o seguinte. Eu duvido que em algum momento do governo do pai dele houve investimento no agronegócio, como houve no meu governo. Eu duvido que houve a quantidade de investimento na agricultura familiar que houve no meu governo. Nos 4 anos. Nos 4 anos. Eu duvido que houve um incentivo à compra de máquinas, como nós fizemos</t>
        </is>
      </c>
    </row>
    <row r="24">
      <c r="A24" s="12" t="inlineStr">
        <is>
          <t>00:22</t>
        </is>
      </c>
      <c r="B24" s="39" t="inlineStr">
        <is>
          <t>para agricultura familiar desse país. Então é o seguinte, nunca se exportou tanto nesse país. É por isso que quando o meu adversário ficou lambendo o Trump para taxar o Brasil, [limpando a garganta] eu não fiquei preocupado, porque eu não nasci com medo de cara feia. Se o Trump não quer comprar do Brasil, eu vou vender outros lugares. Abrimos, abrimos 700 novos mercados nesse país e aumentamos em 57 países uma média de 10,5. E é por isso que o nosso superábit comercial foi quase R5 bilhões deais. É só procurar o Google para vocês perceberem a bobagem que esse jovem fala quando vai debater. Ô jovem, você não sei qual o preconceito que você tem, candidato, com quem é jovem. Eu com muito orgulho, eu sou, tenho 45 anos de idade, fui deputado quatro vezes, sou senador da República, 4 anos</t>
        </is>
      </c>
    </row>
    <row r="25">
      <c r="A25" s="12" t="inlineStr">
        <is>
          <t>00:23</t>
        </is>
      </c>
      <c r="B25" s="39" t="inlineStr">
        <is>
          <t>tomando decisões direta ou indiretamente junto com o presidente Jair Bolsonaro. Eu sou advogado, sou empresário, sou pós-graduado em políticas públicas e governo, sou pós-graduado em empreendedorismo, em novos negócios. Eu sei como administrar o Brasil e eu sei que o Brasil escolheu a mudança. Você do Centro-Oeste que tá sofrendo tanto aí, você que planta, você que bota a sua mão, enfia sua mão na terra para poder produzir, garantir o seu sustento, garantir que você possa levar dignidade paraa sua casa quando você vende os os grãos que alimentam o mundo, quando você cria gados que vão alimentar os brasileiros. Eu sei das suas dificuldades. Não adianta nada você ter investimentos, né, tão grandes. Se é que é verdade, tem que dar um Google aí para checar. Porque, por exemplo, plano safra, todo mundo, todos os agricultores reclamam, porque na hora de tomar um financiamento para comprar semente, para plantar, para poder comprar maquinário, para poder investir no seu negócio, para poder comprar animal, fica é simplesmente impossível. É tanta burocracia, Lula e o dinheiro que você coloca não é suficiente. Tanto é que não consegue, eles não conseguem tomar o</t>
        </is>
      </c>
    </row>
    <row r="26">
      <c r="A26" s="12" t="inlineStr">
        <is>
          <t>00:24</t>
        </is>
      </c>
      <c r="B26" s="39" t="inlineStr">
        <is>
          <t>financiamento dano que você coloca no plano safra de garantia, que o juro real chega, fica próximo de 20%. É impossível você plantar e produzir nesse Brasil com a taxa de juro tão alto. Comigo o seguro rural tá garantido e mais vai ter previsibilidade e segurança jurídica. Eu vou colocar o dinheiro lá, vou aprovar a lei, garantindo que esse dinheiro não possa ser contingenciado, porque tem mais essa. Você ainda contingencia os recursos do seguro rural e do e do do plano safra, inclusive pros agricultores familiares. Eu quero falar para você que é um aposentado rural. A sua aposentadoria rural tá garantida. Eu vou garantir um reajuste acima de inflação para você. E mais, o meu governo vai ter tecnologia. Você não vai precisar mais andar centenas de quilômetros muitas vezes para poder se habilitar a receber a sua aposentadoria. você não vai precisar ficar mais tanto tempo na fila, porque eu vou garantir isso na palma da sua mão. O meu governo vai ser um governo tecnológico. Eu vou dar atenção para você que produz e eu sei que você precisa dessa aposentadoria rural. E mais, a todos os governadores eleitos na região Centro-Oeste, que são nossos aliados, eu quero fazer um grande pacto</t>
        </is>
      </c>
    </row>
    <row r="27">
      <c r="A27" s="12" t="inlineStr">
        <is>
          <t>00:25</t>
        </is>
      </c>
      <c r="B27" s="39" t="inlineStr">
        <is>
          <t>com vocês para combater o crime organizado, porque infelizmente como o atual governo liberou geral nas fronteiras, tá aí voltou a criminalidade com força, as rotas de tráfico de armas e drogas continuam. Agora, ô Lula, qual foi a última vez que você foi no supermercado? Me fala aí. Eu não sei se meu adversário fala baixo para mim não escutar com vergonha que eu ouço o que ele fala, porque é impressionante a incapacidade do Flávio de dizer uma coisa com coisa. Não tem um segmento da sociedade nesse país. Não tem um segmento da agricultura brasileira. que não tenha obtido muito mais recursos, muito mais financiamento, não apenas do governo, mas do BNDS, do Banco do Brasil. Ele precisa saber que o juro que esses bancos paga na agricultura não é a taxa Selic. Esse juro é subsidiado tanto pelo BNDF quanto pelo Banco do Brasil,</t>
        </is>
      </c>
    </row>
    <row r="28">
      <c r="A28" s="12" t="inlineStr">
        <is>
          <t>00:26</t>
        </is>
      </c>
      <c r="B28" s="39" t="inlineStr">
        <is>
          <t>quanto o dinheiro da Caixa Econômica para construção civil é subsidiado. Ele sabe que é assim, mas ele tem um discurso imposto, imposto, imposto, que é o que a elite faz todo santo dia. Imposto, imposto, imposto. Porque para eles o que pesa para eles é melhorar a vida do povo. Então ele se incomoda com pobre na universidade, com o pobre Instituto Federal, com a pessoa ganhando Marcos Salar de Mino, com filha de pedreiro virando, sabe, engenheira virando médica, isso incomoda. Ele fica no mesmo discursinho, pepé, vai atrasar. Mas o que acontece? Eu ten que eu tinha acabado com a fome nesse país em 2012. Eu votei em 2023 com 33.000 pessoas passando fome. Ele se importa com isso não? que onde ele mora as pessoas não passam fome, no condomínio dele as pessoas não passam fome, a família dele não passa fome e ele não sabe o que é fome. Essa é a verdade. Candidato Lula, é a vez do senhor fazer a pergunta. Eu vou sortear aqui agora a região do país</t>
        </is>
      </c>
    </row>
    <row r="29">
      <c r="A29" s="12" t="inlineStr">
        <is>
          <t>00:27</t>
        </is>
      </c>
      <c r="B29" s="39" t="inlineStr">
        <is>
          <t>e também volto a pedir ao senhor que faça perguntas sobre a região do país, região sul, por favor. Essa, eu não sei se meu adversário sabe, o Rio Grande do Sul é a região, o sul do país é a região que proporcionalmente tem mais aposentado no Brasil. Não é a maioria por causa de Minas Gerais ou de São Paulo, mas proporcionamente é. E eu vou repetir uma pergunta. Vou repetir uma pergunta que é chavão aqui. O senhor tem tentado mostrar que vai fazer um tesouraço. Eu até no último debate perguntei se você tinha tomado emprestado o motosserra do do do Milei, porque na</t>
        </is>
      </c>
    </row>
    <row r="30">
      <c r="A30" s="12" t="inlineStr">
        <is>
          <t>00:28</t>
        </is>
      </c>
      <c r="B30" s="39" t="inlineStr">
        <is>
          <t>Argentina a pobreza chegou a 40%. O povo tá comendo carne de burro e você disse que que é um modelo igual ao duelei. A minha pergunta é o seguinte: você vai reajustar o salário mínimo acima da inflação para todas as categorias, para quem tá na ativa e para quem tá aposentado? Ronda. » Com certeza. Eu vou reajustar sim. Salário mínimo acima da inflação, aposentadoria acima da inflação. Eu não vou privatizar Banco do Brasil, Caixa e Petrobras. São essas as fake news que ele tá contando. Ele nem lembra a última vez que ele foi no mercado, porque ele mora num palácio de luxo agora, então ele não sabe como a comida tá cara e tá achando que tá barato, que tá fácil. Para você que tá em casa comprar comida, eu sei que tá difícil e eu vou te ajudar. Ô Lula, entenda uma coisa. Quando eu falo do Milei, né, que ele ele fez lá, ele arrumou economia lá na Argentina, a esquerda governou por 20 anos. Vocês destruíram a Argentina. O</t>
        </is>
      </c>
    </row>
    <row r="31">
      <c r="A31" s="12" t="inlineStr">
        <is>
          <t>00:29</t>
        </is>
      </c>
      <c r="B31" s="39" t="inlineStr">
        <is>
          <t>Milei começou um governo com 211% de inflação. A taxa de juro lá chegou a 100%. Governo da esquerda, o Milei teve que consertar as coisas ruins que vocês fizeram lá. E eu vou ter que ter o mesmo trabalho aqui, porque você tá deixando um país quebrado. Você pegou qu, você já gastou mais de R$ 400 bilhões de reais para tentar se reeleger. Você não tem vergonha de deixar o país quebrado desse jeito, não? Olha o legado que você tá deixando para as futuras gerações. Você tá comprometendo as futuras gerações. Eu vou ter que consertar esse problema que você tá arrumando com o nosso país. Eu perguntei se você vai, você nunca responde a pergunta, eu perguntei se você vai aumentar o salário dos aposentados acima da inflação. Se vai apresentar o BPC, se vai aumentar o trabalhador rural, se vai aumentar as pensionistas e se vai aumentar 26 milhões de aposentados que considerará de mínimo. É isso que você tem que dizer, vai ou não vai, porque</t>
        </is>
      </c>
    </row>
    <row r="32">
      <c r="A32" s="12" t="inlineStr">
        <is>
          <t>00:30</t>
        </is>
      </c>
      <c r="B32" s="39" t="inlineStr">
        <is>
          <t>você inventou um tesouraço que um dia diz que vai, a sua economista diz que vai, você diz que nega. Eu quero saber o seguinte, onde é que tá a verdade? Porque esse negócio de político, sabe? Ficar beijinho beijinho antes das eleições e tchau tchau depois. O povo tá cansado. Então eu quero que você diga, você vai ou não vai cortar o aumento do salário mínimo? Senhor, ainda tem 1 minuto e segundos tr, por favor. Eu queria pedir para você, Tral de, já que ele não quis usar o tempo, não, não. Ó, primeiro eu quero falar pela segunda vez para você tá com problema que você não tá ouvindo. Eu vou falar pela segunda vez. Eu vou reajustar as aposentadorias acima da inflação. Eu quero falar para você, povo gaúcho, que esse presidente virou as costas para vocês o momento que vocês mais precisavam, que foram nas tragédias de 2024. Ele foi aí, tirou foto, prometeu um monte de coisa, não entregou nem 30% do que ele prometeu que entregar. Eu fui a Sarandi junto com o prefeito de Porto</t>
        </is>
      </c>
    </row>
    <row r="33">
      <c r="A33" s="12" t="inlineStr">
        <is>
          <t>00:31</t>
        </is>
      </c>
      <c r="B33" s="39" t="inlineStr">
        <is>
          <t>Alegre, conhecer a realidade da cidade que ficou embaixo d'água. casos até o segundo andar embaixo d'água, pessoas que perderam tudo e foram abandonadas por você, Lula. Eu sou o senhor presidente que vou estar junto nas horas boas e principalmente nas horas ruins. Eu vou ajudar o governador Zuco a recuperar o Rio Grande do Sul, a tirar o estado dessa dívida que inviabiliza os investimentos na cidade. Eu vou ajudar a comprar e colocar para funcionar as bombas d'águas para impedir que cidades ali perto daquela região ali de Porto Alegre que são alcançadas pelo escoamento das águas das chuvas que chegam em grande quantidade para que não aconteça mais isso. Eu vou ajudar na reconstrução de Porto Alegre, na construção das comportas de água, para evitar que os alaramentos aconteçam em várias cidades de Porto Alegre. Tive meu alcance, eu vou fazer. Então, Zulco, pode contar comigo. Você, Moro, governador eleito do Paraná, pode contar comigo também, porque os meus irmãos paranaenses vão ter um presidente da República que vai ajudar o Moro a transformar o Paraná numa grande fortaleza, como ele falou muito durante</t>
        </is>
      </c>
    </row>
    <row r="34">
      <c r="A34" s="12" t="inlineStr">
        <is>
          <t>00:32</t>
        </is>
      </c>
      <c r="B34" s="39" t="inlineStr">
        <is>
          <t>a campanha. A gente vai estar junto, Mouro, para combater essa rota de tráfico de armas e drogas, por exemplo, que passa pelo porto de Paranaguá. A gente vai botar a Marinha lá com a sua tropa de elite para garantir, né, que haja essa fiscalização e que o porto não seja mais usado para isso. Quero que você, Jorginho, faça um bom trabalho e conte comigo para investimento em todas as BRs que cortam Santa Catarina. » Candidato Flávio, é a vez do senhor fazer a pergunta. Restam mais duas regiões aqui do país. Eu vou sortear. Região Norte, por favor, uma pergunta sobre a região norte para o seu adversário. Saneamento básico é saúde. E nós fizemos o marco legal do saneamento básico, porque hoje tem aproximadamente 90 milhões de brasileiros que não tem esgoto tratado nas suas casas. Tem aproximadamente 40 milhões de brasileiros que não tada nas suas casas. E nós fizemos esse marco legal, exatamente para que houvesse um investimento e até 203 nós pudéssemos</t>
        </is>
      </c>
    </row>
    <row r="35">
      <c r="A35" s="12" t="inlineStr">
        <is>
          <t>00:33</t>
        </is>
      </c>
      <c r="B35" s="39" t="inlineStr">
        <is>
          <t>garantir que mais de 90% dos brasileiros tivessem acesso a esses dois bens básicos. Sabe quem votou contra isso lá no Congresso Nacional? A bancada do PT. Lula, por que que vocês são contra levar água e esgoto tratado pelos mais pobres? Não conhece o Brasil. Não conhece. Acho que ele só ouviu falar de Manaus e do da região norte quando o pai dele apareceu na televisão rindo e imitando a pessoa morrendo afixiada porque não tinha oxigênio. Talvez se a única imagem que ele tem do estado do Amazonas é essa. É o pai dele rindo das pessoas morrendo por falta de oxigênio. Porque se ele conhecesse o Amazonas e conhecesse tudo que nós fazemos na Amazônia, e ele pode perguntar pros senadores e também outra vez pergunta pro Google. Quando você não souber,</t>
        </is>
      </c>
    </row>
    <row r="36">
      <c r="A36" s="12" t="inlineStr">
        <is>
          <t>00:34</t>
        </is>
      </c>
      <c r="B36" s="39" t="inlineStr">
        <is>
          <t>Flávio, pergunta pro Google tudo que nós fizemos Amazonas nesses últimos 24 anos. Você vai perceber que foi mais investimento internet, básico, mais investimento em saúde, mais investimento em portos, mais investimento no aeroporto, mais investimento em estradas. É só perguntar no Google para não ficar aqui falando muito número que você vai perceber que você efetivamente não conhece o Brasil. Eu quando fiz a minha primeira campanha da minha vida em 89 eu descobri que eu não conheci o Brasil. Eu fiz 91.000 km de ônibus, de barco, de trem para conhecer o Brasil, para não ficar falando bobagem quando se pergunta do Brasil. Então é importante você estudar um pouco e lá no Amazonas. Semido por no Carapanã para você saber o que é Amazonas. » Eu confesso que eu tô com um pouquinho de dificuldade de entender o que ele tá falando, mas vamos lá. Ô Lula, quem é que governa o Brasil? É você ou é o Google? Tudo pergunta pro Google, você não sabe</t>
        </is>
      </c>
    </row>
    <row r="37">
      <c r="A37" s="12" t="inlineStr">
        <is>
          <t>00:35</t>
        </is>
      </c>
      <c r="B37" s="39" t="inlineStr">
        <is>
          <t>responder nada. Eu quero falar para você que mora na região norte, que sofre tanto com a falta de esgoto tratado, sofre tanto com a dificuldade de ter acesso à água potável na sua casa, eu vou ajudar você. Eu vou investir, eu vou fazer com que o marco legal do saneamento volte a ter essa essa meta de entrega de mais de 90% pra população até 20303, porque por causa do atual governo, essa meta já foi para depois de 2050. Eu quero falar para você, Dr. Daniel, governador eleito do Pará, eu quero estar junto com você para levar saneamento básico para Belém. Eu tive aí, eu vi como é desumano pessoas em Belém que moram num local ali no centro de Belém, onde passa o esgoto a seu aberto. É urubu revirando comida na porta de casa, as pessoas se acostumando a morar, viver num lugar, né, que que tem cheiro ruim. Eu me comprometo a ajudar Belém a fazer o maior programa de saneamento básico da cidade. Eu quero falar para vocês de Altamira também que</t>
        </is>
      </c>
    </row>
    <row r="38">
      <c r="A38" s="12" t="inlineStr">
        <is>
          <t>00:36</t>
        </is>
      </c>
      <c r="B38" s="39" t="inlineStr">
        <is>
          <t>mora eh que também fica ali, mora às margens da Transamazônica, que ele também não asfaltou. A Transamazônica tá lá aberta, a estrada de terra cortada, mas por causa de dos órgãos ambientais do atual governo, simplesmente eles inviabilizam que se asfalte. Você fica aí no lamaçal quando chove, você fica desconectado do país quando chove. Os camiões ficam ficam atolados. Eu vou garantir o que você mais me pediu, o direito de trabalhar. Você que mora no Pará, você vai ter o direito de trabalhar, porque esse governo não vai mais atrapalhar. Eu quero falar para você que é de Manaus, você que é do Amazonas, melhor dizendo, a zona franca é sagrada, tá garantida. Eu vou fazer é ampliar ainda mais, porque o Brasil hoje tem um grande, é um grande tem celeiro de oportunidades pro mundo para que existam investimentos aqui, por exemplo, em data centers. Eu vou também trabalhar para que isso vá paraa zona franca de Manaus. O gás que existe também em Manaus e no Amazonas, isso pode sim ser transformado na soberania para o nosso agro, porque com essa matéria você pode</t>
        </is>
      </c>
    </row>
    <row r="39">
      <c r="A39" s="12" t="inlineStr">
        <is>
          <t>00:37</t>
        </is>
      </c>
      <c r="B39" s="39" t="inlineStr">
        <is>
          <t>produzir fertilizantes pra gente depender menos de fertilizantes que são importados lá de fora. Eu quero falar para você que eu vou garantir a autonomia dos povos indígenas para que eles decidam o que que eles vão fazer nas suas terras. Sua tréplica, candidato. Luc, eu » não sei, não sei se vocês prestar atenção o que o Fábio falou, porque é tudo contrário o que eles fizeram no governo. Eu tô lembrado que ele tinha um secretário, um ministro de meio ambiente que dizia que era preciso abrir a porteira, passar por cima de tudo e não atender os indígenas, não atender os quilobolas, ou seja, fiso fazer o mundo, sabe, na Amazonas totalmente desprotegido. É porque ele não conhece Amazonas. Se ele conhecesse, ele sabia que hoje a economia verde pode trazer muito mais dinheiro com a floresta em pé do que com</t>
        </is>
      </c>
    </row>
    <row r="40">
      <c r="A40" s="12" t="inlineStr">
        <is>
          <t>00:38</t>
        </is>
      </c>
      <c r="B40" s="39" t="inlineStr">
        <is>
          <t>a floresta caída. Pode trazer muito mais dinheiro do que plantar capinha ou criar grado. Se ele soubesse, se ele conhecesse um pouco o potencial no mundo da economia verde, ele iria perceber que a floresta em pé e colocando vigilas para tomar conta das suas terras, a gente iria ganhar muito mais. mas muito mais. Ele não sabe o que o fundo Amazonas tá significando pro Brasil. Aliás, eles anularam o fundo Amazonas. Fomos nós que entramos e que fazemos o fundo funcionar. Então, ô Flávio, o mo de seriedade quando você falava com as pessoas por respeito às pessoas, porque senão você passa a ideia que tá brincando e o povo tá cansado de brincadeira, como você fazem e você sobretudo no Congresso da » tempo esgotado. Candidato Lula, é a vez do senhor fazer a pergunta. Temos um único tema agora aqui na nossa urna, é a região do país</t>
        </is>
      </c>
    </row>
    <row r="41">
      <c r="A41" s="12" t="inlineStr">
        <is>
          <t>00:39</t>
        </is>
      </c>
      <c r="B41" s="39" t="inlineStr">
        <is>
          <t>nordeste. Peço ao senhor então que elabore uma pergunta sobre a região nordeste para o seu oponente. Bem, todo mundo sabe que eu sou do Nordeste e todo mundo sabe que eu consegui fazer junto com o povo brasileiro, junto com os governadores, que o Nordeste desse um salto de qualidade. Eu quando assumi a presidência da República, o Nordeste era a região que tinha mais pobre, mais nutrido, mais analfabeto, mais evador escolar, menos universidade, menos doutor, menos mestre. Era isso que era o Nordeste. E o que que nós fizemos? Levamos o desenvolvimento pro Nordeste, a transnordestina, levamos a transposição do rio São</t>
        </is>
      </c>
    </row>
    <row r="42">
      <c r="A42" s="12" t="inlineStr">
        <is>
          <t>00:40</t>
        </is>
      </c>
      <c r="B42" s="39" t="inlineStr">
        <is>
          <t>Francisco, que é hoje a maior obra hídrica em funcionamento no mundo. Ele sabe disso. São quase 1700 km de canal e 15.000 km de adutora. E falta pouco pra gente terminar. O problema é que cada vez que a gente termina aparece alguém querendo mais uma extensão e nós vamos fazendo porque a gente não pode negar água. a quantidade de universidade. Nós fizemos mais universidade, mais institutos federais, levamos super computador para Natal, levamos supercutador quântico para a Paraíba, levamos indústria automobilística, ou seja, o Nordeste no nosso governo ganhou cidadania, ganhou respeito. Eu queria saber o que que você vai fazer no Nordeste, já que você não gosta do Nordeste. A impressão que eu tenho é que você não gosta do Nordeste. Explica o que que você vai fazer no Nordeste. Qual é a bondade decorada que você vai fazer do Nordeste, » Lula? O Nordeste não é problema. O Nordeste é solução. Eu vou ser o carioca mais nordestino que</t>
        </is>
      </c>
    </row>
    <row r="43">
      <c r="A43" s="12" t="inlineStr">
        <is>
          <t>00:41</t>
        </is>
      </c>
      <c r="B43" s="39" t="inlineStr">
        <is>
          <t>vocês já viram na face da Terra. Eu quero só começar desfazendo uma fake news, porque a campanha dele é com base em fake news. Aí esse vídeo, eu peço que que a minha equipe coloque aí agora no meu Instagram, @fláviobolsonaro, o vídeo real sobre o Bolsonaro, ter aquele vídeo dele suspirando e ele fala que tava debochando as pessoas que estavam sem ar. É mentira. Se você pegar 10 segundos antes e 10 segundos depois, você vai ver que exatamente o contrário é o presidente Bolsonaro criticando que a época se defendia, que as pessoas precisavam esperar sentir falta de ar para depois irem pro hospital. naquele momento que não tinha vacina, não tinha remédio, ninguém sabia o que tava acontecendo direito ainda, ele queria, ele queria se garantir que você pudesse ir até o médico para que o médico pudesse te atender. Agora, Lula, o que você levou pro Nordeste foi o comando vermelho que se proliferou, tomou conta de cidades, tá expulsando as pessoas de suas casas. Lula, os estados Nordeste são administrados pelos pelo PT e pelos seus parceiros. São os estados mais violentos do Brasil. Lula, por que que</t>
        </is>
      </c>
    </row>
    <row r="44">
      <c r="A44" s="12" t="inlineStr">
        <is>
          <t>00:42</t>
        </is>
      </c>
      <c r="B44" s="39" t="inlineStr">
        <is>
          <t>você deixou o Comando Vermelho se proliferar pelo Nordeste junto com os governadores que são seus apoiadores? Deixa dizer uma coisa sobre o Nordeste. Nós levamos indo automobilística para Pernambuco. Levamos indo automobilística que vão ser tirado da Bahia. Nós levamos outra pra Bahia, levamos pro Ceará. Nós fizemos 14 novos hospitais, levamos o Instituto Tecnológico da Aeronáutica para o Ceará como prêmio ao estado do Ceará, porque é o estado que mais aprova jovens para fazer curso no ITA. Foi um prêmio que nós resolvemos dar ao Ceará. Ao mesmo tempo, nós fizemos 40 novos institutos federais e novas universidades. Aí eu pergunto para você, ou seja, o que que vocês fizeram no Nordeste quando vocês governaram?</t>
        </is>
      </c>
    </row>
    <row r="45">
      <c r="A45" s="12" t="inlineStr">
        <is>
          <t>00:43</t>
        </is>
      </c>
      <c r="B45" s="39" t="inlineStr">
        <is>
          <t>O que que vocês fizeram? Me dê um exemplo de uma obra, um exemplo do que que vocês fizeram. Não fizeram nada porque nunca as pessoas do Sul e do Sudeste se preocupa com o Nordeste. O Nordeste é tratado como desdém, como se não fosse uma coisa que merecesse respeito. E começou nordestino, como carreguei pote de água com 6 anos de idade, eu quero que o Nordeste seja tratado em igualdade de condições com qualquer outra região desse país, porque nós merecemos respeito e nós queremos alguém que cuida de nós. E você tempo esgotado, candidato Lula. » Ô Lula, eu vou ser presidente do Brasil, vou governar inclusive para você. Eu vou governar pro Nordeste, vou governar inclusive em parceria com os governadores que não são aliados meus políticos. Eu já dei o exemplo aqui de Pernambuco. Vai ser uma grande honra sentar com a governadora Alita Raquel Lira para ajudar os nossos irmãos pernambucanos junto com a governadora a combater o crime organizado, levar as</t>
        </is>
      </c>
    </row>
    <row r="46">
      <c r="A46" s="12" t="inlineStr">
        <is>
          <t>00:44</t>
        </is>
      </c>
      <c r="B46" s="39" t="inlineStr">
        <is>
          <t>obras que precisam para lá. Ô Lula, deixa eu te falar uma coisa aqui. Quer ver uma obra que o presidente Bonal levou para lá? Você prometeu que ia entregar a transposição no Rio São Francisco até 2009, não entregou. Depois prometeu que entregar até 2014 também não entregou. Sabe quem levou, quem concluiu as obras e eles fez finalmente chegar água até o Nordeste? Jair Messias Bolsonaro. E quer ver outra coisa que o Bolsonaro fez, né? Principalmente para aquelas pessoas que precisam do Bolsa Família. Antigamente, no governo dele, o Bolsa Família era ali R$ 75, R$ 120 que você recebia, em média era R$ 190. O presidente Bolsonaro passou para no mínimo R$ 600. No mínimo R$ 600. E mais, eu vou garantir para você do Bolsa Família que vai ter o reajuste. Sim, eu garanto o reajuste para você, só que eu quero fazer muito mais. Se você arrumar um emprego de carteira assinada ou se você abrir a sua própria empresa, que eu vou te mostrar o passo a passo de como é que você faz isso, se você quiser. E aí você não vai perder o seu Bolsa Família, você</t>
        </is>
      </c>
    </row>
    <row r="47">
      <c r="A47" s="12" t="inlineStr">
        <is>
          <t>00:45</t>
        </is>
      </c>
      <c r="B47" s="39" t="inlineStr">
        <is>
          <t>vai ficar recebendo o seu Bolsa Família por mais um período até você estabilizar. Mas se alguma coisa acontecer no meio do caminho, pode ficar tranquilo que eu vou estar aqui para imediatamente te você te colocar para receber o Bolsa Família de Novo. E eu vou fazer uma grande ferrovia cortando todas as capitais do Nordeste, desde Salvador até lá em São Luís. Um trem que vai gerar muito turismo. Você que trabalha com turismo, você vai poder receber a sua gorgeta em dólar, em euro. É assim que eu vou garantir e levar prosperidade pro Nordeste. Votado candidato Flávio. Agradeço muito aos dois candidatos. A gente vai fechando aqui o nosso primeiro bloco. Vamos então fazer um intervalo rápido e daqui a pouco nós voltamos com um novo bloco [música] de tema determinado. É candidato perguntando para candidato sobre assuntos prioritários [música] para o Brasil. Não saia daí, a gente volta já. É a Globo nas eleições 2026. Cada candidato escolhe um dos 10 temas do telão e vai fazer uma pergunta pro seu adversário. Cada tema só pode ser</t>
        </is>
      </c>
    </row>
    <row r="48">
      <c r="A48" s="12" t="inlineStr">
        <is>
          <t>00:46</t>
        </is>
      </c>
      <c r="B48" s="39" t="inlineStr">
        <is>
          <t>escolhido uma vez. Nesse bloco, então, vão ser três perguntas e no próximo bloco, mais três. Assim, cada candidato vai ter a oportunidade de fazer no total três perguntas sobre assuntos que impactam a vida e o futuro do país. Nós vamos juntos agora então pro telão que eu vou ler os temas aqui. Políticas sociais, meio ambiente, reformas, retomada de territórios, relações com Estados Unidos e China, Sistema Único de Saúde, ensino integral, dívida pública, Endividamento dos Brasileiros, inteligência artificial. Vou sortear então quem abre esse bloco. Quem começa é o candidato Luís Inácio Lula da Silva. candidato, peço ao senhor então que venha até o mapa. Peço ao senhor que escolha um dos 10 temas e que faça a pergunta pro seu adversário sobre o tema. Lembrando que quem está com a</t>
        </is>
      </c>
    </row>
    <row r="49">
      <c r="A49" s="12" t="inlineStr">
        <is>
          <t>00:47</t>
        </is>
      </c>
      <c r="B49" s="39" t="inlineStr">
        <is>
          <t>palavra pode andar livremente pelo cenário e quem ouve, portanto, vai ter que esperar no púlpito para depois então vir pra frente. » É, mas eu eu vou falar aqui do púlpito agora. » Tudo bem, candidato? aqui do povo, minha pergunta simples como senor quiser » e o meu adversário já conhece no último debate. » Eu preciso, eu preciso que o senhor escolha um dos temas do telão, por favor. » Meu debate é políticas sociais. É política social. » Políticas sociais. Perfeito. A sua pergunta, por favor. Então, » no último debate eu fiz a pergunta simples e o meu adversário não respondeu e eu queria que ele olhasse nos olhos das mães que estão na Câmara. para me dizer o seguinte, por que que ele foi o único deputado estadual do Rio de Janeiro a votar contra o aumento do da licença maternidade? » Quero agradecer o meu concorrente aqui</t>
        </is>
      </c>
    </row>
    <row r="50">
      <c r="A50" s="12" t="inlineStr">
        <is>
          <t>00:48</t>
        </is>
      </c>
      <c r="B50" s="39" t="inlineStr">
        <is>
          <t>pela pergunta. Isso faz bastante tempo e na época eu votei acreditando que isso poderia dificultar que as mulheres conseguissem armar emprego. Eu tava errado. Hoje, depois que eu casei, depois que eu tenho duas filhas, mais do que nunca, eu sei da importância da mãe tá perto do filho por até mais de 180 dias, se possível. Então, de verdade, eu hoje votaria completamente diferente. Candidato. » Eh, é simplesmente fantástico a incapacidade de responder as coisas com objetividade. » Ué, » ou seja, quando ele teve a chance de votar, ele não votou. Quando ele teve a chance de votar, ele não votou. É importante que cada brasileiro olhe, ele teve a chance de votar para aumentar o auxilio maternidade e ele não votou. Agora que ele é candidato e sabe que as mulheres estão mais ativas, estão mais na vida política, estão brigando mais, ele vem aqui dizer: "Ah, eu agora vou</t>
        </is>
      </c>
    </row>
    <row r="51">
      <c r="A51" s="12" t="inlineStr">
        <is>
          <t>00:49</t>
        </is>
      </c>
      <c r="B51" s="39" t="inlineStr">
        <is>
          <t>votar, eu agora vou votar". Não votou quando podia votar. E eu poderia até emendar uma outra coisa para ele, sabe? Por que que você chamou o Bolsa Família de Bolsa Farelo? Você acabou de falar do Bolsa Família. de Bolsa Farel? Sabe o que que é isso? É a falta de respeito com o povo pobre desse país. Porque vocês que fazem parte da classe média alta e que mora no sabe de algum lugar e ainda tem relação com gente que não presta, para vocês pobre não vale nada. Eu queria perguntar por que um senador da República chamou o Bolsa Família de Bolsa Farelo. O senhor tem ainda 1 minuto e 14 segundos, candidato. Pedir para não ver essa » candidato. O senhor tem 1 minuto e 14 segundos. » Ele não tá usando é porque ele não quer usar, né? Bom, vamos lá. Deixa eu responder para você mais essa presidente da República</t>
        </is>
      </c>
    </row>
    <row r="52">
      <c r="A52" s="12" t="inlineStr">
        <is>
          <t>00:50</t>
        </is>
      </c>
      <c r="B52" s="39" t="inlineStr">
        <is>
          <t>» tréplica. » Eu vou, eu vou, eu vou, eu vou usar o tempo. » Não vou usar porque ele não quer. » Candidato, o senhor, » eu não ia usar o tempo, eu vou usar o » candidato. O senhor o sen » da expectativa de guiar meu minuto, porque ele disse uma uma grandeira e eu não vou levar para casa. Ele me chamou de nove dedo. Eu quero que ele saiba de uma coisa. Se tem alguém aqui nesse público que sabe o que é o mundo do trabalho, sou eu. Se tem alguém que perdeu um dedo do cu de 17 anos, fui eu. Trabalhando da noite que eu não podia trabalhar. Não vou permitir que o miliciano me chame de nove dedo. Não vou permitir. Não vou permitir. » Silêncio na plateia, por favor. » Não vou. Ele nunca trabalhou na vida. Não sabe uma carteira profissional. O primeiro emprego que ele teve foi um emprego falso pelo pai dele. Ele trabalhava com pai, mas ficava em Brasília. E vi chamar eu de nove dedo. Ou se você vai ter que pedir desculpa.</t>
        </is>
      </c>
    </row>
    <row r="53">
      <c r="A53" s="12" t="inlineStr">
        <is>
          <t>00:51</t>
        </is>
      </c>
      <c r="B53" s="39" t="inlineStr">
        <is>
          <t>El vai ter que pedir desculpa porque o povo trabalhador tá vendo, milhões de trabalhadores se acidentam por ir responsabilidade patronal que obriga a gente trabalhar em jornada que a gente tem que trabalhar. Eu era de menor e trabalhava à noite porque ou trabalhava ou não comia. Ele não posso estar que um grafino que um grafino com uma prática política muito duvidosa venha me chamar de nove dedo. » Sua tréplica. Candidato Flávio » Lula, se eu te ofendi porque eu te chamei de no Deus, eu te peço desculpa de verdade, não queria te ofender. Te peço desculpa de verdade. Agora eu quero saber se você vai pedir desculpas pros moradores de rua que dobraram durante o seu governo. Que combate à pobreza essa que você faz? Se o Brasil tinha 199.000 moradores de rua recebendo C de Único e agora quase dobrou isso aí. Eu quero saber se você vai pedir desculpas, Lula, pro pessoal que recebe bolsa família. Você que recebe bolsa família, você foi esquecido</t>
        </is>
      </c>
    </row>
    <row r="54">
      <c r="A54" s="12" t="inlineStr">
        <is>
          <t>00:52</t>
        </is>
      </c>
      <c r="B54" s="39" t="inlineStr">
        <is>
          <t>pelo atual governo por 4 anos. Sabe quando ele lembrou de você? Há 17 dias. Ele lembrou de você porque você vota. Ele passou 4 anos e te deixou de lado. Faltando pouquinho tempo para eleição, ele te lembrou de você. Ele te deu um reajuste de R$ 3 por dia. R$ 3 por dia. Você compra três ovos com isso e olhe lá. Esse é o presidente que cuida dos mais pobres. Você vai pedir desculpas, Lula, pro povo brasileiro que tá sofrendo aí com a insegurança. Você vai pedir desculpas para as mulheres no seu governo. Record de mulheres assassinadas. Você vai pedir desculpa para as mulheres que estão espancadas todos os dias e no seu governo a quantidade de mulheres espancada só aumenta. Você vai pedir desculpa, Jula, para quem tá endividado. Você que tá devendo, com dificuldade de pagar suas contas em dia, tá com a conta atrasada, são mais de 80 milhões de pessoas como você que estão pagando</t>
        </is>
      </c>
    </row>
    <row r="55">
      <c r="A55" s="12" t="inlineStr">
        <is>
          <t>00:53</t>
        </is>
      </c>
      <c r="B55" s="39" t="inlineStr">
        <is>
          <t>contas além da data de vencimento do seu boletiro. Você vai pedir desculpa para essas pessoas, Lula? Você vai pedir desculpas, Lula, para quem vai no mercado e enfrenta aquela prateleheira com os produtos caros, arroz, feijão, carne, tá tudo mais caro no seu governo. Você vai pedir desculpas ao povo brasileiro. Sabe que eu vi muito andando, principalmente pelo Nordeste, sobre atual governo? A palavra decepção. Essa é a palavra que se refere ao atual governo. Porque a esperança virou decepção, a esperança virou medo. A esperança, Lula, virou frio para essas pessoas que estão morando nas ruas, que tem que dormir em cima de um papelão, que tem que receber um cobertor, muitas vezes, de uma igreja com projetos sociais que as igrejas fazem para ajudar moradores de rua, para levar comida para eles. Muradores que acabam caindo no mundo das drogas. E olha o exemplo que deu o governador Tarcísio junto com o prefeito Ricardo Nunes e o Guilherme Derrite.</t>
        </is>
      </c>
    </row>
    <row r="56">
      <c r="A56" s="12" t="inlineStr">
        <is>
          <t>00:54</t>
        </is>
      </c>
      <c r="B56" s="39" t="inlineStr">
        <is>
          <t>Eles acabaram com a cracolândia. Pessoas que estavam ali morando nas ruas foram acolhidas, tratadas e hoje tem esperança de votado. Candidato Flávio. Ah, quero lembrar aqui, por favor, que os dois candidatos pediram direito de resposta. Os direitos de resposta foram concedidos. Candidato Lula começa pelo senhor. O senhor tem um minuto e na sequência o candidato Flávio. » Eu vou eu vou utilizar o direito da resposta para dizer ao meu adversário que eu a vida inteira vivi no mundo dos trabalhos. E eu tenho consciência que ainda falta muita coisa ser feita nesse país, muita, porque esse país é um país que peca. O mundo inteiro teve universidade primeiro que o Brasil. O Brasil só vai ter a primeira universidade 420 anos depois da descoberta. Então quem tem que</t>
        </is>
      </c>
    </row>
    <row r="57">
      <c r="A57" s="12" t="inlineStr">
        <is>
          <t>00:55</t>
        </is>
      </c>
      <c r="B57" s="39" t="inlineStr">
        <is>
          <t>pedir desculpas ao Brasil é a elite brasileira. Tem que pedir ao massagre que ela fez com o povo brasileiro. E eu tô muito orgulhoso de dizer o seguinte: ainda falta muita coisa a fazer, muita, mas muita coisa. Mas se pegar todos os presidentes da República e for saber quem fez mais política do inclusão social, todos juntos não fizeram o que nós fizemos em 16 anos. E isso eu tenho muito orgulho e ainda fazer muito mais. » Candidato Lula, candidato Flávio, o seu direito de resposta, o senhor tem um minuto. » Bom, nem parece que ele é o atual presidente da República, né? É o governo dele que tem que ser questionado. Ele parece que parou no templo. Infelizmente o atual presidente da República, as ideias que ele tinha, que eram boas lá atrás, que serviam para resolver os problemas do passado, hoje não funcionam mais. As ideias que funcionavam lá atrás, no início dos anos 2000, hoje pros problemas que o Brasil tem, são completamente diferentes. As</t>
        </is>
      </c>
    </row>
    <row r="58">
      <c r="A58" s="12" t="inlineStr">
        <is>
          <t>00:56</t>
        </is>
      </c>
      <c r="B58" s="39" t="inlineStr">
        <is>
          <t>soluções não são mais possíveis. E eu quero fazer um gesto aqui para você, né, que é cuidador de animal, das causas animais. Nós sancionamos a lei sanção para aumentar as penas para os maus tratos animais. Eu quero me comprometer com essa causa, ampliar essa lei para que não só cachorros e gatos, mas também animais silvestres e outros maus tratos possam ser ter suas penas ampliadas. Tem um estudo do FBI que diz que aonde há numa região onde há grandes maus tratos de animais, há também um grande potencial de pessoas mais violentas. Vamos usar esse parâmetro para proteger os animais e para combater a violência. Candidato Flávio, a vez do senhor fazer a pergunta, peço ao senhor que, por favor, escolha um dos temas no telão. » Telão, candidato. » Eu vou escolher dívida pública. » Dívida pública, por favor, a sua pergunta ao seu adversário.</t>
        </is>
      </c>
    </row>
    <row r="59">
      <c r="A59" s="12" t="inlineStr">
        <is>
          <t>00:57</t>
        </is>
      </c>
      <c r="B59" s="39" t="inlineStr">
        <is>
          <t>O atual governo tá deixando uma dívida aí de R$ 11 trilhões de reais para você trabalhador pagar. Isso aqui dá uma taxa de juro que ele tem que pagar. A taxa de juro oficial no Brasil hoje está aí em torno de 14% porque é um governo gastador. Vocês sabem que ele gasta muito, ele aumenta os gastos e para conseguir cobrir isso, ele tem que aumentar os impostos. Lula, por que que você tá deixando as famílias brasileiras tão endividadas, já que uma vez que a dívida do governo cresce, a dívida das famílias cresce junto? É assim que você tá tratando as pessoas que mais precisam, porque as pessoas mais atingidas pela sua gastança são os mais pobres com a inflação. Por que você tá maltratando tanto os mais pobres com a taxa de juro tão alto e um governo que gasta tanto? » Ao invés de fazer a pergunta para mim, Flávio, responde pro povo na tua Câmara. Por que que vocês fizeram o Banco Central independente?</t>
        </is>
      </c>
    </row>
    <row r="60">
      <c r="A60" s="12" t="inlineStr">
        <is>
          <t>00:58</t>
        </is>
      </c>
      <c r="B60" s="39" t="inlineStr">
        <is>
          <t>É pergunta. Bom, nósemos o Banco Central Independente para evitar que presidentes que são gastadores como você chegasse no momento como esse, colocassem um político lá para começar a dar canetada e reduzir a taxa de juros na canetada, porque o Brasil ia correr um risco. Você ia transformar o Brasil no que a Cristina Kisten e o Alberto Fernandes transformaram lá na Argentina, ia explodir a taxa de juro, explodir a inflação. E é isso que a gente não pode permitir que aconteça no Brasil. Então esse [limpando a garganta] é um legado do presidente Jair Bolsonaro. Sim, o Banco Central Independente mostrando que ele não tem apego ao poder, ele tá preocupado é com as próximas gerações. Gente, lá em outubro de 2022, nas eleições anteriores, a previsão de taxa de juro, se o presidente Bolsonaro continuasse no governo, era que hoje nós tivéssemos uma taxa em torno de 7%. Nós estamos falando de que hoje nós temos uma taxa em torno de 14. São sete pontos percentuais de diferença. Com essa</t>
        </is>
      </c>
    </row>
    <row r="61">
      <c r="A61" s="12" t="inlineStr">
        <is>
          <t>00:59</t>
        </is>
      </c>
      <c r="B61" s="39" t="inlineStr">
        <is>
          <t>dívida pública de R$ 11 trilhõesais, a gente tá falando por ano de quase 1 trilhão de reais que o Brasil, nós pagadores de impostos, temos que desembolsar para pagar essa dívida. E assim que passou do primeiro pro segundo turno com o Flávio Bolsonaro na frente, a taxa de juro futuro já caiu 2%, ou seja, já abriu de cara no orçamento mais de R bilhões deais. Sabe o que eu vou fazer com esses recursos? Eu vou pagar uma parte da dívida para que a taxa de juro oficial comece a cair. Eu vou ajudar você a pagar sua dívida porque eu tô falando de onde vai ser o dinheiro. Porque eu vou comprar a sua dívida dos bancos e vou refinanciar pelo Banco da Prosperidade, que é a Caixa Econômica Federal. Quando eu compro essa dívida, ela já fica menor. Como a taxa de juro começa a cair comigo sentado na cadeira de presidente da República, a sua prestação também vai começar a cair. Mas com um detalhe, você que é a pessoa física vai ficar por seis meses parado o pagamento da sua dívida, você não vai pagar nada. E você que a pessoa jurídica vai ficar um ano a sua</t>
        </is>
      </c>
    </row>
    <row r="62">
      <c r="A62" s="12" t="inlineStr">
        <is>
          <t>01:00</t>
        </is>
      </c>
      <c r="B62" s="39" t="inlineStr">
        <is>
          <t>dívida parada. Dessa forma você vai poder comprar de novo, encher o seu carrinho no supermercado. Você quer ter um comércio, você vai poder comprar de novo mercadoria para vender, que eu sei que as pratias estão vazias agora porque as pessoas não tm dinheiro para comprar. É assim que a economia vai gerar. É assim que eu vou te reinserir na economia. É assim que a economia brasileira vai voltar a girar paraa frente e não para trás. Uma » tempo esgotado. Candidato Flávio. Candidato Lula, a sua tréplica. O senhor tem 2 minutos e 49 segundos. e até pra frente para falar duas coisas importantes. Primeira, quando ele fala que vai comprar a dívida dos devedores, ele tá copiando uma coisa que eu já mandei pro Senado e ele sabe disso, que nós vamos comprar a dívida das pessoas que estão devendo, fazer um leilão nos bancos e vamos vender essa, comprar essa dívida com 90, 92% até 95% de desajo. Isso nós já fizemos, nós já fizemos como</t>
        </is>
      </c>
    </row>
    <row r="63">
      <c r="A63" s="12" t="inlineStr">
        <is>
          <t>01:01</t>
        </is>
      </c>
      <c r="B63" s="39" t="inlineStr">
        <is>
          <t>nós fizemos ontes de ontem, sabe, um perdão de quase 15 bilhões, de 4 milhões e meio que estava devendo uma dívida ativa com o governo que as pessoas não iam pagar mais. Não só nós perdoamos essa dívida, como nós aumentamos de um para dois funcionários e aumentamos também o mínimo o piso de que hoje é 81 para 110 e depois para 140 28. Isso nós já fizemos. Mas tenta ficar copiando o que eu falo para ficar dizendo que eu vou fazer, que eu vou fazer. Agora vamos pegar a questão da dívida pública. A dívida pública brasileira, ela tá muito a ver com a taxa de juro mesmo. Uma taxa de juro que nós herdemos com 13% e que tá 13,75% no Banco Central independente. Eu já fui presidente outras vezes, eu tive presidente do Banco Central 8 anos, não troquei. Fernando Henrique Cardoso tocou quatro vezes. E eu queria dizer para vocês que a dívida vai baixar, porque o PIB vai crescer também, porque é preciso, toda vez que a economia não</t>
        </is>
      </c>
    </row>
    <row r="64">
      <c r="A64" s="12" t="inlineStr">
        <is>
          <t>01:02</t>
        </is>
      </c>
      <c r="B64" s="39" t="inlineStr">
        <is>
          <t>cresce, você aparece alguém falando em corta gasto, tesouraço, teto de gasto, não sei das contas. E eu quero fazer a economia crescer, porque quanto mais a economia crescer, mas a gente vai poder diminuir a dívida com relação ao PIB e a gente vai gerar os empregos necessários. É por isso que o salário mínimo cresceu no nosso governo. Porque quando o PIB cresce e o PIB é a produção da riqueza de toda a sociedade brasileira, antigamente ficava só pros magnata. Agora nós estamos dando para as pessoas mais humildes um pedacinho desse volo que cresceu. Essa é uma coisa que nós fazemos. A segunda coisa que é importante saber é o seguinte. Ninguém nesse país, ninguém em nenhum momento da história fez mais crédito do que nós fizemos. E o mérito não é meu não. O mérito é do povo que reivindicou. O mérito é do povo que conquistou. O mérito é do povo que exigiu que a gente financiasse máquina, que a gente financiasse um monte de coisa para ele.</t>
        </is>
      </c>
    </row>
    <row r="65">
      <c r="A65" s="12" t="inlineStr">
        <is>
          <t>01:03</t>
        </is>
      </c>
      <c r="B65" s="39" t="inlineStr">
        <is>
          <t>E é por isso que a economia cresce. Vocês perceberam que a economia não crescia acima de 3% desde que eu deixei a presidência em 2010. E ela voltou a crescer. Ela voltou a crescer porque nós conquistamos respeito no mundo e conquistamos respeito aqui dentro. É por isso que a economia vai crescer e também a nova indústria Brasil. » Tempo esgotado. Candidato Lula, é a vez do senhor fazer a pergunta agora e eu peço, por favor, que o senhor escolha um tema no telão para fazer a pergunta. » Sistema Único de Saúde. » Por favor, a sua pergunta. A minha pergunta é simples. Eh, eu vi na imprensa esses dias eh de que o seu escolhido se um dia você chegasse à presidência da República, sabe? Dizer publicamente que não vai colocar nenhum dinheiro no SUS.</t>
        </is>
      </c>
    </row>
    <row r="66">
      <c r="A66" s="12" t="inlineStr">
        <is>
          <t>01:04</t>
        </is>
      </c>
      <c r="B66" s="39" t="inlineStr">
        <is>
          <t>Isso não são palavras minhas, são palavras deles. Eu queria saber como é que você quer melhorar a saúde desse país negando o plano de saúde mais importante que tem em qualquer país com mais de 100 milhões de habitantes, que não funcionou quando seu pai era presidente, porque ele optou e deixar morrer 726.000 do pessoal para COVID, ao invés de atender a demanda científica, sabe, dos médicos e dos pesquisadores, como é que você vai melhorar a saúde? É com o tesouraço, » não, Lulô. O tesouraço vai ser na corrupção do atual governo. O tesouraço vai ser na burocracia. O tesouraço vai ser nos impostos que você criou. Foram mais de 30 que você criou ou aumentou. E eu quero falar para você que é do SUS, o dinheiro hoje que é investido aí é mal aplicado. Tá faltando até de pirona na unidade básica de saúde.</t>
        </is>
      </c>
    </row>
    <row r="67">
      <c r="A67" s="12" t="inlineStr">
        <is>
          <t>01:05</t>
        </is>
      </c>
      <c r="B67" s="39" t="inlineStr">
        <is>
          <t>Você chega num num hospital e é fila para tudo. Você que é uma mãe atípica, quanto tempo você precisa esperar para ser atendida por um um um um neuropediatra, por um fonodólogo para atender o seu filho? Quantos meses? Quantos anos muitas vezes? Então o SUS é mal gerido, mas o SUS é um orgulho nacional. Agora o Lula votou contra a Constituição de 88 que criou o SUS. Ô Lula, se você votou contra a Constituição de 88 que tava lá prevista a criação do do SUS, você é um deputado constituinte, por que que você votou contra a Constituição de 88? A sua réplica, candidato Lula, o senhor tem 2 minutos e 1 segundo. » Olha, eu eu queria uma resposta precisa, porque o dado concreto é que se fica só meia resposta pra sociedade, as pessoas não sabem. É importante o povo brasileiro saber que o SUS é o responsável</t>
        </is>
      </c>
    </row>
    <row r="68">
      <c r="A68" s="12" t="inlineStr">
        <is>
          <t>01:06</t>
        </is>
      </c>
      <c r="B68" s="39" t="inlineStr">
        <is>
          <t>por evitar que morresse mais gente da COVID depois da responsabilidade do governo do pai dele. Porque no governo do pai dele, no governo do pai dele, sabe, quem tomasse vacina ia virar gay, ia virar jacaré. Ele inventou remédio para vender clorquina, tá? O dado concreto é f imprensa. Não sou eu que tô dizendo não. Não sou eu que tô dizendo não. Isso aconteceu aos olhos do mundo. Aos olhos. Inclusive era para vir aqui a mãe do Paulo Gustavo que morreu por conta da Covid. Muita gente morreu por responsabilidade por pura simp. Eu nunca exigi que o presidente soubesse das coisas. Ele não é obrigado a saber. O que eu exigia é que ele tivesse a competência de botar uma equipe, um gabinete de crise com especialista para salvar as pessoas. E graças a Deus existiu com médicos, com enfermeiros, com faxineiros, com</t>
        </is>
      </c>
    </row>
    <row r="69">
      <c r="A69" s="12" t="inlineStr">
        <is>
          <t>01:07</t>
        </is>
      </c>
      <c r="B69" s="39" t="inlineStr">
        <is>
          <t>motoristas que colocaram a sua vida em risco para evitar um desastre desse país que foi a COVID. poderia ter salvado pelo menos metade das pessoas que morreram, mas não, ele preferiu debochar, debochar e imitar as pessoas sofocando, sabe? Era isso que era nesse país. E eu queria saber, de verdade, eu fico diga, cara, como é que você vai fazer o SUS? Porque você tá colocando uma pessoa que não quer colocar dinheiro no SUS, já disse que não quer e ainda disse que vai que vai privatizar o SUS. Vai privatizar o SUS, vai cobrar do SUS. É isso que vocês querem fazer? Diga pro povo o que que você vai fazer. » Candidato Flávio Bolsonaro, o senhor tem 2 minutos e 3 segundos para sua tréplica. » É óbvio que vai ter investimento no SUS. Vocês vão se lembrar, meu pai foi salvo de uma facada, foi dada por um ex-integrante do pessoal na Santa Casa de Juiz de Fora. Foi o SUS que salvou o presidente Bolsonaro. Eu vou manter sim,</t>
        </is>
      </c>
    </row>
    <row r="70">
      <c r="A70" s="12" t="inlineStr">
        <is>
          <t>01:08</t>
        </is>
      </c>
      <c r="B70" s="39" t="inlineStr">
        <is>
          <t>vou investir no SUS sim. Sabe qual é a realidade hoje? Sabe qual é o fato concreto, candidato? O fato concreto é que a espera para uma cirurgia de câncer de tireoide ultrapassou os 700 dias. As pessoas estão na fila morrendo, esperando tratamento de câncer. Eu quero me eu quero me comprometer com o Instituto Nacional do Câncer o Inca, que eu vou investir nas obras de ampliação do Inca para atender mais gente com mais qualidade. Aquela emenda que eu coloquei aí para aqueles aparelhos que conservam os rins por mais tempo e podem fazer com que uma pessoa que tá numa fila de transplante, ao invés de fazer hemodiálise, tenha mais chance de ter um rin transplantado. Eu vou investir ainda mais nisso. Eu quero dar um recado a todas as santas casas do Brasil. Hoje vocês estão sufocados, estão devendo. E sabe quem é criedor das Santas Casas, candidato? A Caixa Econômica Federal. E você não fez nada para ajudar a reduzir a dívida das Santas Casas? Eu vou ajudar a refinanciar essas dívidas. E mais, eu</t>
        </is>
      </c>
    </row>
    <row r="71">
      <c r="A71" s="12" t="inlineStr">
        <is>
          <t>01:09</t>
        </is>
      </c>
      <c r="B71" s="39" t="inlineStr">
        <is>
          <t>vou atualizar a tabela SUS, porque hoje a tabela SUS, caso você não saiba, paga R$ 10 para um médico por consulta. Você não fez nada para melhorar esse atendimento. Uma médica que uma obstetra que faz um parto, por exemplo, recebe R$ 443 só por um parto e você não atualizou tabela SUS. Cada vez é menor o percentual que o governo federal coloca para o tratamento da saúde em todo o Brasil. Eu vou fazer como fez o governador Tarcísio lá em São Paulo, que criou a tabela SUS paulista. Com isso, ele conseguiu reduzir em muito as filas. Ele conseguiu estimular os profissionais da saúde a trabalharem melhor. Ele deu dignidade para os profissionais e dignidade para os paulistas e paulistanos com um atendimento muito melhor. » Tempo esgotado. Candidato Flávio Bolsonaro. O senhor pediu um direito de resposta. O pedido foi negado. Chegamos aqui ao fim do nosso segundo bloco. A gente faz um rápido intervalo. 10:59</t>
        </is>
      </c>
    </row>
    <row r="72">
      <c r="A72" s="12" t="inlineStr">
        <is>
          <t>01:10</t>
        </is>
      </c>
      <c r="B72" s="39" t="inlineStr">
        <is>
          <t>hora de Brasília. Estamos de volta ao vivo aqui dos Estúdios Globo pro terceiro bloco do debate com os candidatos à presidência da República. Nós vamos seguir na mesma dinâmica do bloco anterior. O candidato escolhe um tema do telão que ainda não foi abordado e faz a pergunta para o adversário. Quem está com a palavra pode andar pelo cenário sem ser interrompido. O adversário aguarda no púlpito a vez de falar. Quem abre este bloco é o candidato Flávio Bolsonaro, que terminou o bloco anterior respondendo. Candidato, peço ao senhor que venha até o mapa, por favor, e que nos diga que tema que o senhor vai escolher. » Eu escolho endividamento dos brasileiros. » Por favor, a sua pergunta sobre este tema. » Meu concorrente prometeu picanha e entregou abóbora. Chegou ao ponto de de falar a seguinte frase: "Se a comida tá cara, não compra". Ô Lula, você tá achando a comida barata pro povo</t>
        </is>
      </c>
    </row>
    <row r="73">
      <c r="A73" s="12" t="inlineStr">
        <is>
          <t>01:11</t>
        </is>
      </c>
      <c r="B73" s="39" t="inlineStr">
        <is>
          <t>brasileiro que tá endividado? Primeiro, o endividamento da sociedade brasileira é uma coisa muito séria. E nós, desde o primeiro mês de mandato, nós criamos o primeiro de viola para resolver o problema da dívida, depois criamos o segundo e agora estamos criando o terceiro tema para fazer com que o povo se livre da dívida que ele contraiu por n motivos. Por n motivos. E nós vamos resolver o problema da livro porque nós queremos que o povo vote a consumir e a ganhar um pouco de dinheiro. » Ô Lula, você enrolou o povo brasileiro uma vez, você enrolou o povo brasileiro com o segundo desenrola. Você tá enrolando o povo brasileiro de novo com o terceiro, desenrola. São mais de 80 milhões de brasileiros que estão com as contas atrasadas por causa de você, por</t>
        </is>
      </c>
    </row>
    <row r="74">
      <c r="A74" s="12" t="inlineStr">
        <is>
          <t>01:12</t>
        </is>
      </c>
      <c r="B74" s="39" t="inlineStr">
        <is>
          <t>causa dos seus juros altos, por causa da gastança do seu governo. O brasileiro antes parcelava um fogão, parcelava um microondas, parcelava a geladeira, agora parcela o que tem dentro da geladeira. Que mundo você vive, candidato? Você não tá vendo que as pessoas estão parcelando até pizza no iFood em seis meses? É porque se não parcelar a pizza não consegue vender a pizza. Então eu quero falar para você que eu vou ajudar você a sair dessa dívida, a desenrolar você dessa enrolação que ele te enrolou. Por exemplo, a Caixa Econômica Federal tem mais de 11 milhões de contratos imobiliários, são mais de 30 milhões de pessoas atingidas. Sabe qual a maior reclamação lá na ouvidoria da Caixa Econômica Federal? que eles estão pagando as parcelas há anos e o saldo devedor não diminui. É algo desesperador. É porque tá tudo atrelado à taxa de juro do seu governo, que é muito cara. Ô Lula, você gastou mais de R5</t>
        </is>
      </c>
    </row>
    <row r="75">
      <c r="A75" s="12" t="inlineStr">
        <is>
          <t>01:13</t>
        </is>
      </c>
      <c r="B75" s="39" t="inlineStr">
        <is>
          <t>bilhões de reais para tentar se reeleger nos próximos dias. Você não tem dois meses que mandou a lei orçamentária anual, que são as despesas previstas pro ano que vem. E nada disso tava previsto. Você tá prometendo um monte de coisa que você não vai entregar, como você prometeu a picanha e não entregou a picanha. Você prometeu devolver o poder de compra pro brasileiro e não entregou, tá entregando dívida. Eu quero te falar que eu vou, eu tenho um plano para resolver a sua dívida. A Caixa Econômica Federal vai ser o Banco da Prosperidade. Eu quero levar prosperidade para você. Você que mora numa comunidade, por exemplo, imagina como seria bom você que mora na favela, na periferia, na quebrada, no morro, como você quiser chamar, se aí não tivesse tráfico de drogas. Já parou para pensar? Aonde tem gente, aonde tem gente circulando, a economia pode funcionar, a favela é potência. Eu quero te ajudar a entrar pra formalidade. Eu quero fazer que na palma da sua mão você</t>
        </is>
      </c>
    </row>
    <row r="76">
      <c r="A76" s="12" t="inlineStr">
        <is>
          <t>01:14</t>
        </is>
      </c>
      <c r="B76" s="39" t="inlineStr">
        <is>
          <t>tem o passo a passo, você mulher empreendedora, você tem o passo a passo para você abrir a sua própria empresa. Eu vou te garantir um financiamento baratinho. Você vai poder trazer dignidade pra sua casa com ajuda do Banco da Prosperidade. Vai ser o Itaú das Favelas, é o Bradesco da Periferia. Esses bancos de rico, a Caixa tem que funcionar para você que precisa. É assim que eu vou fazer, levando prosperidade, investindo em empreendedorismo, em especial nas favelas. » Candidato Lula, sua tréplica, por favor. » Acredite se quiser, é um programa. Veja, nós fizemos dois desenrola. No primeiro atendemos 15 milhões de pessoas, no segundo atendemos quase 16 milhões de pessoas. E nós descobrimos que ainda era fí fazer mais coisas e resolvemos criar um programa agora para resolver definitivamente a questão da dívida. Nós já mandamos a medida provisória. Vamos fazer um leilão esse</t>
        </is>
      </c>
    </row>
    <row r="77">
      <c r="A77" s="12" t="inlineStr">
        <is>
          <t>01:15</t>
        </is>
      </c>
      <c r="B77" s="39" t="inlineStr">
        <is>
          <t>mês, um leilão que pode chegar a mais de R50 bilhões de reais para comprar as dívidas nos bancos dessas pessoas. E aí sim a gente vai poder titar essas pessoas do Serasa, dar essas pessoas condição de trabalhar. Porque o que que nós queremos fazer? O que nós queremos é fazer com que a economia seja reativada, as pessoas comecem a trabalhar, as pessoas começam a ganhar dinheiro, porque nós fizemos por isso 17 milhões de meio. Nós fizemos a lei geral da pequena e média empresa, porque nós queremos que o empreendedorismo vença nesse país. Nós sabemos que o mundo do trabalho mudou e que as pessoas querem outro tipo de trabalho e nós estamos fomentando. É por isso que nós essa semana anunciamos o perdão de uma dívida de quase 15 bilhões para 4 milhões de vez. E nós vamos resolver o problema da dívida, porque nós queremos que essa gente volta</t>
        </is>
      </c>
    </row>
    <row r="78">
      <c r="A78" s="12" t="inlineStr">
        <is>
          <t>01:16</t>
        </is>
      </c>
      <c r="B78" s="39" t="inlineStr">
        <is>
          <t>a trabalhar. E é por isso que eu tive a coragem de acabar com as betas, que eu sei que meu adversário não gostou, que eu sei que outras pessoas não gostaram, mas nós acabamos com aberto porque ela tava virando um inferno na vida das pessoas, não só consumindo p no dinheiro das pessoas, do leite, do pão da criança, mas também levando as pessoas a seolentarem, a tentarem se matar, a se enforcarem. Ah, pessoas que que tentaram se mutilar. várias vezes. Então, nós vamos acabar com as betes para ver se a gente consegue fazer com que o dinheiro que a pessoa ganha sobra para cuidar da família. E isso nós vamos levar muito a sério. Eu sei que vai ter muita briga. Eu sei que você, por exemplo, é contra acabar com as bet, mas nós vamos acabar com as betes para que sobre dinheiro para as pessoas viverem com a sua família dignamente. E eu tenho certeza que as mulheres desse país são favoráveis porque elas querem que o dinheiro do marido, o dinheiro dela seja para cuidar das crianças e não para fazer aposta. Candidato Lula, a vez do senhor fazer a</t>
        </is>
      </c>
    </row>
    <row r="79">
      <c r="A79" s="12" t="inlineStr">
        <is>
          <t>01:17</t>
        </is>
      </c>
      <c r="B79" s="39" t="inlineStr">
        <is>
          <t>pergunta, eu peço ao senhor, por favor, que escolha um dos temas do telão que nós temos ainda ali em destaque. » Educação, » ensino integral, é isso. » Educação não é só isso, » não. É porque o tema que está no telão, candidato, é ensino integral. Nós temos meio ambiente, reformas, retomada de territórios, relações com China e Estados Unidos, ensino integral, inteligência artificial. Então, » ensino integral, por favor. » É que educação é mais do que ensino integral. Ensino integral é uma das vertentes da educação. Você não pode falar educação e falar só de ensino integral, porque é isso que nós estamos fazendo no Brasil. É isso que estamos fazendo no Brasil. » Eu entendo, candidato. Eu só lembrei o senhor que o tema que está no telão é ensino integral. Então, peço ao senhor que faça a pergunta, por favor. Então, deixa eu lhe falar uma coisa. Eu queria que meu adversário respondesse</t>
        </is>
      </c>
    </row>
    <row r="80">
      <c r="A80" s="12" t="inlineStr">
        <is>
          <t>01:18</t>
        </is>
      </c>
      <c r="B80" s="39" t="inlineStr">
        <is>
          <t>o que que você vai fazer com a escola de ensino integral nesse país? Eu vou fazer o que você não fez, candidato. Você zerou o orçamento federal para ensino integral e tentou maquiar numa outra assim, falar: "Iso que eu vou fazer agora". Veja que curioso, né? O atual presidente da República tem dois filhos que fizeram muito mal ao país, o Lulinha e o Tigrinho. Ele é o pai do Tigrinho, ele é o pai do cassino online. Ele criou, ele liberou. Aí chegando perto da eleição, ele vai e cancela, achando que vai enganar você. Ainda prejudicou aí o estime de futebol, acabou com a segurança jurídica desse país. Agora, ô Lula, por que que você cortou o dinheiro do ensino integral? O cinismo chega a uma coisa absurda aqui. O tigrinho foi criado por vocês em 2022.</t>
        </is>
      </c>
    </row>
    <row r="81">
      <c r="A81" s="12" t="inlineStr">
        <is>
          <t>01:19</t>
        </is>
      </c>
      <c r="B81" s="39" t="inlineStr">
        <is>
          <t>Não só o seu pai é o pai do tigrinho, como você é o irmão. Não só você é o irmão, é filho do mesmo DNA. O tigrinho foi seu pai que criou. Explica porque que seu pai criou o tigrinho. Explica e fala de tempo integral. Fala das coisas integral que eu quero ouvir o que que você pretende propor ao Brasil. » Candidato Lula, o senhor ainda tem 2 minutos. Candidato Flávio, por favor, » por favor, quando o tempo, quando o tempo se esgota, eu alerto que o tempo acabou. Quando ainda tem tempo, eu aviso que ainda tem tempo. Candidato Lula, o senhor está na sua réplica. O senhor ainda tem 2 minutos. Pergunto ao senhor se o senhor vai fazer uso desse » Eu vou eu vou dizer uma coisa para vocês. Eh, o Brasil tem clareza do que foi feita na educação neste país, desde o momento em que o PT assumiu a presidência em 2003.</t>
        </is>
      </c>
    </row>
    <row r="82">
      <c r="A82" s="12" t="inlineStr">
        <is>
          <t>01:20</t>
        </is>
      </c>
      <c r="B82" s="39" t="inlineStr">
        <is>
          <t>Todo mundo sabe o papel do Hadad na educação, todo mundo sabe o papel do Camilo na educação e todo mundo sabe a revolução que foi feita nesse país, sabe? E nós vamos concluir agora no próximo mandato 100% de escola de tempo integral nesse país até o ensino médio. Todo mundo sabe que nós criamos o pé de meia e vamos nos universalizar para o ensino médio e vamos estender o pé de meia para sabe a universidade porque nós queremos que nenhum jovem desista da escola. Nós queremos que eles estudem, porque esse é o financiamento mais barato. Todo mundo sabe que nós encontramos 5000 600 creches paralisadas, escolas, escolas de tempo integral, institutos federais paralisados. O ministro Camilo não sabe o que ele teve que fazer para reconstruir tudo isso por uma irresponsabilidade de um governo que não acreditava em educação como não acredita, porque não investiram.</t>
        </is>
      </c>
    </row>
    <row r="83">
      <c r="A83" s="12" t="inlineStr">
        <is>
          <t>01:21</t>
        </is>
      </c>
      <c r="B83" s="39" t="inlineStr">
        <is>
          <t>Aliás, eles inventaram uma uma escola cívico-militar. É isso que eles inventaram e que não fizeram também. Nós vamos continuar fazendo investimento na educação porque nós entendemos que não existe nenhum país do mundo que conseguiu se desenvolver sem antes de investir na educação. Então eu tenho muito orgulho de participar do momento histórico desse país em que a gente fez mais universidade, a gente fez mais Instituto Federal, a gente fez mais escolativa integral, a gente cuidou da educação como jamais tinha sido cuidado na história desse país. inclusive com o pé de meia, fazendo com que 66% das crianças não desistissem mais da escola, o que é um avanço extraordinário. » Candidato Flávio, a sua tréplica, por » Bom, candidato deu uma enrolada aqui, mas vamos lá. Eu quero falar primeiro com começar combatendo algumas fake news aqui, porque ele tá esperando para ele que eu vou acabar com o pé de meia, que vou cortar o pé de meia. Mentira, o pé de meia tá mantido, que eu vou acabar</t>
        </is>
      </c>
    </row>
    <row r="84">
      <c r="A84" s="12" t="inlineStr">
        <is>
          <t>01:22</t>
        </is>
      </c>
      <c r="B84" s="39" t="inlineStr">
        <is>
          <t>com pés de mentira, né? Foi no governo do presidente Bolsonaro que nós anunciamos quase 99% das dívidas dos estudantes que estavam ali no que concluíram o ensino superior, né? Foi o presidente Bolsonaro. Fomos nós que demos o maior reajuste da história para os professores. 33%. Eu quero falar para você que é mãe na vaga no creche, você é uma dessas mães das mais de 1 milhão de crianças que não tem aonde deixar o seu filho, por isso você não consegue trabalhar. Você tem dificuldade de de levar sustento pra sua casa. Eu vou garantir um auxílio creche para você. Onde não tiver vaga na rede pública, você vai poder botar o seu filho na rede privada. Com relação ao ensino integral, eu quero falar que eu vou apostar muito nisso. Eu vou investir muito no ensino integral, porque criança mais perto da escola é criança mais longe do crime. Como é que eu vou fazer no tempo integral? Eu vou investir no ensino técnico, no contraturno, por exemplo, para que as crianças possam aprender as</t>
        </is>
      </c>
    </row>
    <row r="85">
      <c r="A85" s="12" t="inlineStr">
        <is>
          <t>01:23</t>
        </is>
      </c>
      <c r="B85" s="39" t="inlineStr">
        <is>
          <t>profissões do futuro, elas possam sentir estimuladas a irem paraa sala de aula. Vocês vão aprender tecnologia, vocês vão aprender inteligência artificial, desenvolvimento de aplicativos, tudo isso no contraturno, porque assim você vai ficar mais tempo na escola fazendo algo que vai ser importante para você. Como começou a fazer mais uma vez o governador da SISO lá em São Paulo. Eu vou retomar de uma forma integral os jogos estudantis brasileiros, os famosos Jebs que nós resgatamos e esse atual governo mingou de novo. Eu vou retomar inclusive garantindo que nos jogos estudantis brasileiros tenham os esportes eletrônicos, os esportes, que hoje virou uma profissão. Isso também vai ser ensinado no contraturno para você que é da rede pública de ensino. Eu vou garantir essa parceria entre empresas e as escolas. É o chamado modelo dual. Por que isso? Enquanto o aluno tá estudando, aprendendo lá, e eu vou fazer uma ênfase muito maior em matemática, em português, porque hoje</t>
        </is>
      </c>
    </row>
    <row r="86">
      <c r="A86" s="12" t="inlineStr">
        <is>
          <t>01:24</t>
        </is>
      </c>
      <c r="B86" s="39" t="inlineStr">
        <is>
          <t>vocês sabem, né, que grande parte dos alunos concluem o ensino fundamental ou um ensino médio e tem dificuldade. Tanto é que a nota do PISA no Brasil é uma das piores da história com o atual governo. Então eu vou cuidar e vou devolver a esperança para você, estudante brasileiro com o ensino integral. Tempo esgotado. Candidato Flávio, o senhor pediu um direito de resposta. O pedido foi negado. É a vez do senhor fazer a pergunta. Peço ao senhor que olhe pro nosso telão e escolha um dos temas em destaque que nós temos aí ainda. » Retomada de territórios. » Retomada de territórios. A sua pergunta, por favor. Lula, você já se colocou a favor de manter as saidinhas, né? Quando os presos saem dos presídios, vão pras ruas, muitos acabam não voltando e cometem crimes, como aconteceu com o sargento PM Dias lá em Minas Gerais, que estava de serviço e foi assassinado por alguém que obviamente não voltou pra</t>
        </is>
      </c>
    </row>
    <row r="87">
      <c r="A87" s="12" t="inlineStr">
        <is>
          <t>01:25</t>
        </is>
      </c>
      <c r="B87" s="39" t="inlineStr">
        <is>
          <t>cadeia depois da saidinha. Você é uma pessoa ali que é contra a redução da maioridade penal. Você é contra classificar Comando Vermelho, PCC e milícias como organizações terroristas. Por que que você não coloca o interesse das vítimas na frente dos interesses dos bandidos? Aqui hoje tem a mãe de uma menina chamada Ana Clara. Ela tá assistindo, certamente ela tá vendo a sua fisionomia falando de segurança pública. E ela e eu e o Brasil inteiro gostaria de saber por que um senador da República, por que que um senador da República evita que um policial assassino que era para ser julgado agora dia 21 não fosse</t>
        </is>
      </c>
    </row>
    <row r="88">
      <c r="A88" s="12" t="inlineStr">
        <is>
          <t>01:26</t>
        </is>
      </c>
      <c r="B88" s="39" t="inlineStr">
        <is>
          <t>julgado? O que leva um senador a defender um policial que deu um tiro de fuzil [limpando a garganta] numa menina de 5 anos? Explica que segurança é essa? Que território é esse? O território da bala, o território do policial por bato brasileiro. » Sabe o que aconteceu ali? é um território dominado por esses narcoterroristas que ele defende. Ana Clara, eu quero falar pra senhora prestar de verdade a minha solidariedade. Foi uma tragédia o que aconteceu. Eu não consigo imaginar o que é perder uma filhinha de 5 anos de idade. Eu tenho uma filha de 14 e uma filha de 12. Era uma troca de tiros numa comunidade conflagrada. A senhora sabe que tem o tráfico de drogas aí. E o que eu tô fazendo é fazendo com que eu quero ajudar a senhora inclusive a saber quem foi o autor desse disparo, porque eu tenho a confiança que não foi esse policial, ele sequer foi julgado ainda.</t>
        </is>
      </c>
    </row>
    <row r="89">
      <c r="A89" s="12" t="inlineStr">
        <is>
          <t>01:27</t>
        </is>
      </c>
      <c r="B89" s="39" t="inlineStr">
        <is>
          <t>Mas é por isso acontece. Acontece porque o presidente da República, ele não quer combater esses narcoterroristas, esses fuzis que estão aí nessa comunidade. Como é que eles entram no Brasil? As fronteiras estão abertas. Eu vou classificar PCC, Comando Vermelho e Milícias como organizações narcoterroristas. Qual a consequência disso para você? Eles vão ficar muito mais tempo presos, como nós já começamos a fazer com a lei antifacção. Os chefes dessas organizações vão poder pegar até 80 anos de cadia e vão ter que cumprir a pena quase que integralmente, porque hoje a sua política é de desencarceramento. O que que é isso? Não tem vaga em presídio, solta todo mundo. Comigo vai ser diferente. O ladrão de celular vai começar com no mínimo 8 anos de cadeia e vai ter que trabalhar no presídio para dar o valor ao trabalho e saber como é difícil comprar o celular. E hoje lá no celular não fica preso por causa da audiência de custódia que mais uma vez foi o CNJ durante o governo de esquerda que criou inclusive quando tinha na presidência lá o ex-ministro da</t>
        </is>
      </c>
    </row>
    <row r="90">
      <c r="A90" s="12" t="inlineStr">
        <is>
          <t>01:28</t>
        </is>
      </c>
      <c r="B90" s="39" t="inlineStr">
        <is>
          <t>injustiça dele, o senor Ricardo Lewandowski. Eu vou tratar bandido como bandido. A redução da maioridade penal vai acontecer finalmente no Brasil com o Flávio Bolsonaro, presidente. E não vai ser só para 16 anos, não. Vai ser para 14 anos. Em caso de estupro, por exemplo, estuprador com 14 anos de idade tem que responder como adulto. O ideal era até que nem tivesse idade para isso, que em qualquer idade que comete estupro tinha que pagar pelos seus crimes. Você que é estupulador, você que é abusador de crianças, você vai sofrer castração química no meu governo. Vai ser mão pesada com esses vaginais. Diferente desse atual governo que fala que o ladrão de celular não tem que ser preso porque é só para roubar uma cervejinha. Ô Lula, por que que você defende ladrão de celular? Ô Lula, por que que você defende organizações narcoterroristas? Por que você não clatifica eles como terrorista? Votado candidato Flávio, candidato Lula, a sua tréplica, por favor. Eu fico pensando, o povo que tá nos assistindo agora</t>
        </is>
      </c>
    </row>
    <row r="91">
      <c r="A91" s="12" t="inlineStr">
        <is>
          <t>01:29</t>
        </is>
      </c>
      <c r="B91" s="39" t="inlineStr">
        <is>
          <t>vendo esse rapaz falar, ou seja, todo mundo sabe a relação dele com muita coisa ruim aqui no Rio de Janeiro. Não sei o que falam imprensa que fala todo dia. Todo mundo assiste os discursos dele na Assembleia Legislativa defendendo miliciano, oferecendo com decoração para para miliciano, dando emprego pra mãe do chefe do gabinete do OD e pra irmã. Todo mundo sabe. A dona Clara, a mãe da da mina Clara sabe disso. Aliás, a mãe da Mari tá aqui também, ela sabe disso. Essas pessoas te conhecem. Aliás, o Frecho tá aqui, ele sabe disso. Todo mundo sabe quem você é. E essa bravata de que vai fazer fazer isso é bravata de quem não vai fazer nada, porque todo mundo que faz bravata não fala nada. Na verdade, quando ele</t>
        </is>
      </c>
    </row>
    <row r="92">
      <c r="A92" s="12" t="inlineStr">
        <is>
          <t>01:30</t>
        </is>
      </c>
      <c r="B92" s="39" t="inlineStr">
        <is>
          <t>fala do narcotráfico do É porque ele quer entregar pro Trump e cuidado aqui. Ele quer quer entregar pro Trump. E eu quero cuidar do território aqui. Eu vou lhe dizer uma coisa. Aprovada a PEC de segurança, eu vou criar o ministério e aí você vai ver o que é um governo acabar, sabe, com a polícia e deixar o território livre. Você vai ver a gente colocar em prática de verdade pro trabalhador, sabe, segurança, pro bandido cadeia, pro trabalhador proteção, pro bandido cadeia. Isso vai acontecer, vai ficar o ministério, fortalecer a polícia federal, fortalecer a polícia rodovária federal e acabar com essa bandidagem de miliciano e narcotráfico aqui no Rio de Janeiro e no Brasil inteiro. E você sabe que eu vou acabar porque vocês não conseguiram acabar. Vocês se associaram a essa gente aqui no Rio de Janeiro. » Tempo esgotado. Candidato Lula, o candidato Flávio Bolsonaro pediu direito</t>
        </is>
      </c>
    </row>
    <row r="93">
      <c r="A93" s="12" t="inlineStr">
        <is>
          <t>01:31</t>
        </is>
      </c>
      <c r="B93" s="39" t="inlineStr">
        <is>
          <t>de resposta, foi negado. Nós vamos fazer um rápido intervalo. Três direitos de resposta. Um deles foi concedido em relação ao terceiro pedido. Então o senhor tem um minuto para se defender. Agora o senhor tem essa câmera bem aí à sua frente. » Eu quero falar especialmente agora para você, mulher empreendedora, eu quero ser um presidente para cuidar de você de verdade. Não apenas te proteger desses agressores covardes, porque no meu plano de governo eu vou fazer como começou a acontecer também lá em São Paulo. Eu vou monitorar o marginal que agride uma mulher e eu vou também fazer com que essa mulher tenha um monitoramento ali pelo seu celular. Se o marginal chegar perto de você, ele vai ser preso e você não vai ser mais atacada por ele. Eu quero falar para você que muitas vezes você tem dificuldade de deixar a sua casa porque você é agredida, você não tem dinheiro para pagar um aluguel e sair de casa, levar seu filho, levar sua filha. Eu vou garantir autonomia</t>
        </is>
      </c>
    </row>
    <row r="94">
      <c r="A94" s="12" t="inlineStr">
        <is>
          <t>01:32</t>
        </is>
      </c>
      <c r="B94" s="39" t="inlineStr">
        <is>
          <t>financeira para você. Eu vou criar a casa da mulher brasileira, aonde você vai ser acolhida, o seu filho vai ser acolhido, aonde você vai poder, né, fazer curso para poder se aprimorar, você vai poder fazer curso de empreendedorismo, você vai poder abrir a sua própria empresa, você vai ter um financiamento barato. » Tempo esgotado, candidato Flávio, » neste bloco, então, as perguntas são de tema livre. Cada candidato vai ter 8 minutos para usar livremente e cada candidato pode sair do púlpito, vir até o mapa, mas tem que permanecer no seu lado do cenário, respeitando o espaço do adversário. Vou fazer o sorteio aqui, então, de quem começa este bloco de tema livre. O candidato que abre o bloco é o candidato Luís Inácio Lula da Silva, do PT. Lembrando então que os senhores têm 8 minutos. cada um. » Eu queria fazer uma pergunta</t>
        </is>
      </c>
    </row>
    <row r="95">
      <c r="A95" s="12" t="inlineStr">
        <is>
          <t>01:33</t>
        </is>
      </c>
      <c r="B95" s="39" t="inlineStr">
        <is>
          <t>Essa semana eu vi um jogador famoso chamado Richard da seleção brasileira, conhecido porque comemorava os gols como se fosse um pombo e depois é muito conhecido na rede digital como o pai do bebê. O pai do bebê. Pois bem, esse pai do bebê faz uma denúncia. de que o meu adversário e o advogado dele apareceram numa ilha que ele tinha comprado de dos reis e tomaram a ilha dele. Ele tinha pago R milhões deais. Ele entrou no FPU há mais de um ano, ficou esperando e o outro cidadão que era amigo do meu adversário, advogado, e que tinha indicado o diretor do SPU, que era um coronel, em apenas uma semana conseguiu o título de uma propriedade, uma autorização que o pai do B não</t>
        </is>
      </c>
    </row>
    <row r="96">
      <c r="A96" s="12" t="inlineStr">
        <is>
          <t>01:34</t>
        </is>
      </c>
      <c r="B96" s="39" t="inlineStr">
        <is>
          <t>conseguiu. Eu queria que me explicasse como é que vocês tomaram a ilha [limpando a garganta] do JS. Candidato, é muito simples explicar o que aconteceu ali. A justiça já investigou isso. Essa ação já transitou em julgado, já tem uma desesão definitiva. Essa ilha nunca foi do Richarlisson. E outra coisa, o Will é um amigo, não é meu sócio. O sócio dele é o seu o seu advogado, é o seu, é o ex-ministro da Dilma chamado Eugênio Eragão. Ele é sócio. Agora você falou no outro bloco que você vai acabar com a polícia. Me explica como é que você vai acabar com a polícia. Não, o o o Willam não é apenas amigo, pelo que parece, ele é seu sócio e pelo que parece ele conseguiu uma semana com um coronel do Exet, que era diretor do SPU, que você indicou. Eu quero que você responda como é que uma pessoa consegue numa semana e a outra tá</t>
        </is>
      </c>
    </row>
    <row r="97">
      <c r="A97" s="12" t="inlineStr">
        <is>
          <t>01:35</t>
        </is>
      </c>
      <c r="B97" s="39" t="inlineStr">
        <is>
          <t>esperando um ano sem ser comunicado que o outro tomou o terreno dele? Olha, eu não lidiquei ninguém, candidato. Isso é coisa, né, da sua cabeça aí. E assim, o Richarles, com todo respeito, craque, você tá tomando volta do seu empresário, parece que você comprou a sua ilha de um invasor de terra, comprou da MST. Infelizmente essa ação já transitou em julgado e você não tem direito. A a justiça decidiu e eu não tenho nada a ver com isso. Me explica, Lula, por que que como é que você vai acabar com a polícia? Você falou que você vai acabar com a polícia, né? Só PEC aqui, eh, que você chamou de segurança era para controlar as polícias e nós modificamos no Congresso para controlar os bandidos. Qual é sua raiva da polícia? » Eu vou perguntar outra vez porque não é possível. Eu já perguntei, vou perguntar terceira vez. Eu quero que você me explique se o coronel do SPU foi você que indicou, não. Se foi você que indicou, qual foi a influência sua para que ele liberasse o terreno pro seu advogado?</t>
        </is>
      </c>
    </row>
    <row r="98">
      <c r="A98" s="12" t="inlineStr">
        <is>
          <t>01:36</t>
        </is>
      </c>
      <c r="B98" s="39" t="inlineStr">
        <is>
          <t>Porque a minha ministra está indo para trás fazer o estudo, porque se o Richardo tiver certo, nós vamos tomar o terreno e devolver o que é o dono. » Bom, Lula, eu vou falar pela terceira vez. Pela terceira vez. Eu não tenho absolutamente nada a ver com isso. Agora insisto aqui. O Lula, você ganhou um whisk macalan que vale R$ 500.000. R meio milhão de reais. Você tem noção do que que é isso? Uma garrafa de whisky. Rio milhão deais. Contra aqui pro público, né, que nunca vai ter oportunidade de experimentar um whisky desse. Qual o gostinho desse whisky, hein, Lula? Conta para eles aqui. Eu sinceramente cansei de fazer pergunta para esse rapaz e ele mentir descaradamente. Eu só quero saber e vou repetir agora perto da Câmara. se o coronel do SPU é ou não é indicado</t>
        </is>
      </c>
    </row>
    <row r="99">
      <c r="A99" s="12" t="inlineStr">
        <is>
          <t>01:37</t>
        </is>
      </c>
      <c r="B99" s="39" t="inlineStr">
        <is>
          <t>por ele. Eu só quero que fale isso. Não, porque nós vamos investigar pela terceira ou quarta vez. Tô vendendo as contas. Não, ô Lula, qual era o sabor desse whis? Eu sei que o sabor é sabor vergonha, porque você recebeu um presente desse de Rio milhão deais. Qual foi a contrapartida que você prestou para quem te deu esse whisk? » Deve ter ido pra tua casa. Não, não foi pra sua ô não foi paraa minha casa porque você bebeu. Você não falou que você bebeu esse whisky. Você bebeu você, você bebeu com mais alguém junto com você ou você bebeu sozinho seu whisky? » O que você não se conforma é que você criou um banqueiro e eu fiz ele prisioneiro. E que você não se conforma? Porque se você for contar as suas passagens com ele, sinceramente, esse povo vai ficar muito zangado, porque você volcário parece uma coisa só. Então é o seguinte, me responda: qual é a sua relação com o cara?</t>
        </is>
      </c>
    </row>
    <row r="100">
      <c r="A100" s="12" t="inlineStr">
        <is>
          <t>01:38</t>
        </is>
      </c>
      <c r="B100" s="39" t="inlineStr">
        <is>
          <t>Qual é a tua relação com a polícia que não permite você aceitar as págines das balas? Olha, não sei se eu entendi bem, você tá se referindo, você tá se referindo um projeto de lei que andou lá na Câmara que um deputado apresentou uma emenda e eu sou senador, tá? Não tem nada a ver com com a Câmara. E isso sequer foi aprovado, esse não existe. Esse simplesmente não existe. Agora, você sabe quanto é que custa? Se você considerar aqui um copo dessa garrafa de whisky, se essa garrafa tiver 10 copos, cada dose custa R$ 50.000. Cada copo de whisky que ele tomou, que ele recebeu de presente do Vorcaro, R$ 50.000 num copinho. Isso dá para pagar 70 bolsas famílias. 70 bolsas famílias. Reúne você que recebam, mais 70 pessoas. Tudo que vocês receberam no mês, ele</t>
        </is>
      </c>
    </row>
    <row r="101">
      <c r="A101" s="12" t="inlineStr">
        <is>
          <t>01:39</t>
        </is>
      </c>
      <c r="B101" s="39" t="inlineStr">
        <is>
          <t>tomou em um copo. Qual era o sabor desse » Eu acho que esse whisky foi tomado por você em julho de 2020, quando o cara veio vencer a vacina com vaxim para você e você foram para um barco em Brasília. E você foram para um barco em Brasília discutir essa vacina. E eu sei que tinha mais gente. Se você mentir, eu vou dizer quem tava. entra no site aí, mentira. Mentirasdolula.com.br. mentirasdol.com.br. Tem um monte de conteúdo com várias mentiras dele. Agora, ô Lula, fala aqui. Você paga R$ 10 para um médico fazer o atendimento e a um copo desse whom é R$ 50.000. Cara, você não tem vergonha disso? Não. Deve ter sido para você. É. » [limpando a garganta] » É você que falou que bebeu, não fui eu, pô. » Porque quem é amigo é você.</t>
        </is>
      </c>
    </row>
    <row r="102">
      <c r="A102" s="12" t="inlineStr">
        <is>
          <t>01:40</t>
        </is>
      </c>
      <c r="B102" s="39" t="inlineStr">
        <is>
          <t>Quem é amigo do bocário é você. » Ô Lula, deixa eu te contar uma novidade. » Quem é filhote do Bocário é você. » Deixa eu te contar uma novidade. » Quem recebe dinheiro do Bocário é você. Quem pegou 30, 134 milhões de vocário, que até agora não apareceu é você. Não me coloca nessa vala comum, não. » Mais uma mentira dele aí. Deixa eu aproveitar para explicar para você, porque ele não tá sabendo ainda. A Polícia Federal acabou de fazer um relatório. A Polícia Federal dele dizendo sabe o quê sobre esse filme do presidente Bolsonaro? que não tem dinheiro público nele, que o dinheiro foi todo investido no próprio filme. » Esse relatório da polícia tá dizendo que não teve contrapartida nenhuma pelo fato de eu ser senador da República. E outra, que o dinheiro passou tudo pelo Banco Central, foi tudo direitinho dentro da lei, diferente do que o Vorcaro contou nesse áudio, que eu peço pra minha equipe botar de novo no ar aí o áudio do Vorcaro. O filme do Bolsonaro foi tudo direitinho, bonitinho. O seu recebeu R milhões deais por fora, Lula. explica esses 30 milhões onde é que foram parar,</t>
        </is>
      </c>
    </row>
    <row r="103">
      <c r="A103" s="12" t="inlineStr">
        <is>
          <t>01:41</t>
        </is>
      </c>
      <c r="B103" s="39" t="inlineStr">
        <is>
          <t>porque segundo áudio foi pro Instituto Lula para fazer o seu filme. Fantasticamente mentiroso. Veja uma coisa o telespectador não esquecer nunca mais. Entre cidadão e a turma dele criaram um banqueiro chamado Banco Master chamado VCAR. Esse cara corrompeu a república e ele é um deles. Se meteu com o ministro da Suprema Corte, se meteu com ministro do outros tribunais, se meteu com deputado, com senador, se meteu com um monte de gente, fez bacanal, pagou mulher, fez um inferno nesse país. E ele agora vem dizer que não é amigo do cara. Quantas fotos tem você abraçado com ele? Quantas fotos você junto com ele? Ô, ô, Flávio, » nenhuma. » É o seguinte, tem a coragem de dizer</t>
        </is>
      </c>
    </row>
    <row r="104">
      <c r="A104" s="12" t="inlineStr">
        <is>
          <t>01:42</t>
        </is>
      </c>
      <c r="B104" s="39" t="inlineStr">
        <is>
          <t>foto » que e você são parceiro muitas coisas nesse país. » Não, não somos não. Deixa eu explicar para você. Pela enésima vez ali era um investidor num filme privado, não tem lei ranê, não tem dinheiro público, porque a sua polícia federal é que falou isso. Agora, ô Lula, você uma pessoa que parece que não não quer encarar a realidade, cara. Foi no seu governo, sabe? O assessor do Alexandre Padilha foi a matéria da Veja aí, ó. Ele simplesmente, o assessor dele articulou para que o dinheiro dos fundos de pensão da Caixa do Banco do Brasil e dos Correios fosse investido no Banco Master. E olha que teve ato de ofício, hein? Teve ato do governo para poder aceitar as ações do Banco Master como investimento de risco para que os fundos pudessem investir. Sabe qual era o valor, gente? R bilhões deais ser investidos no dia dos aposentados do Banco Master. Sabe qual foi a propina que eles cobraram? R 1 bilhãoais. Lula, seu governo é toda hora isso. Escândalo de corrupção atrás de escândalo de corrupção.</t>
        </is>
      </c>
    </row>
    <row r="105">
      <c r="A105" s="12" t="inlineStr">
        <is>
          <t>01:43</t>
        </is>
      </c>
      <c r="B105" s="39" t="inlineStr">
        <is>
          <t>Você tá ouvindo? Eu vou outra vez apelar pro Google. vai anotando todas as mentiras que ele conta para depois você desmascará como desmascarado no outro debate. A verdade nua [limpando a garganta] e crua é que nós temos uma quadrilha solta desse país. Você veja que eu comecei perguntando da reunião com a vacina Covaim, eu comecei perguntando se ele tava no barco ou não. Ele sabe que ele tava no barco no dia que morreu 100 pessoas. No dia que morreu 100.000 pessoas, sabe, no Brasil por causa da COVID, ele estava num barco negociando com dois empresários. Eu sei até o nome das pessoas e ele sabe, disse que não tava. Ele tava, não sei que negociata que tava. O dado concreto é que as vacinas não vieram. Eu perguntei se você tava ou não tava no barco » com amigo seu chamado Santinho, que era só da fábrica de chocolate com Penhag.</t>
        </is>
      </c>
    </row>
    <row r="106">
      <c r="A106" s="12" t="inlineStr">
        <is>
          <t>01:44</t>
        </is>
      </c>
      <c r="B106" s="39" t="inlineStr">
        <is>
          <t>Conta. » Não tava. Você, Lula, você mente em cima de mim, faz mentira em cima de mentira. Você perdeu completamente a credibilidade, Lula. Agora você quer ver uma coisa? Olha aí qual foi o endereço que o seu filho colocou naquela procuração, naquele desafio mequetref que você fez, a maior fraude eleitoral que esse país já viu. O seu filho colocou como endereço o J, uma um imóvel em São Paulo que pode valer até R$ 15 milhões deais. Ele disse que mora nesse imóvel. E sabe quem é um ré proprietário desse imóvel? Jonas Suasuna. coincidentemente o mesmo dono do sítio de Atibaia. Explica porque que seu filho, seu filho é sócio do Jonas Suassauna. » Foi bom ele fazer essa pergunta que eu vou dizer uma coisa para vocês. Ontem os meus advogados e o ministro Camilo e Senador foram no Tribunal Eleitoral entregar toda a minha papelada. Ficamos esperando a turma dele apresentar. Não apareceram.</t>
        </is>
      </c>
    </row>
    <row r="107">
      <c r="A107" s="12" t="inlineStr">
        <is>
          <t>01:45</t>
        </is>
      </c>
      <c r="B107" s="39" t="inlineStr">
        <is>
          <t>Quando apareceram, apareceu um picareta chamado Deleol querendo fazer confusão e disse que não ia entregar o material só se o ministro da Suprema Corte aceitasse o meu material tá lá. Todo o material meu, da minha mulher, do meu filho, do meu filho Fábio tá lá. Agora eu quero que você coloque o seu lá, o seu documento do seu sócio, dos seus amigos. Você tá devendo essa pra sociedade brasileira. Não entra. Não tô devendo nada pra sociedade brasileira, Lula. Quem deve explicações é você. A documentação tá toda lá. Agora eu só pedir para você pergun para você responder se o Jonas é laranja do seu filho. Porque na verdade o Delanhol ele é especialista em descobrir patrimônio oculto. Você foi condenado por ocultação de patrimônio, Lula. Você tirou tudo do seu nome. A sua declaração de imposto de renda não existe os seus bens. A sua vida é um laranjal. O sítio Atiba tá lá na sua declaração, não vai tá. E tinha</t>
        </is>
      </c>
    </row>
    <row r="108">
      <c r="A108" s="12" t="inlineStr">
        <is>
          <t>01:46</t>
        </is>
      </c>
      <c r="B108" s="39" t="inlineStr">
        <is>
          <t>lá o pedalinho com o nome dos seus netos, né? Tava no nome da Odebrecht também. O triplex lá do Guarujá também não tá no seu nome. Ô Lula, por que que você não coloca as coisas no seu nome? Eu declaro que eu tenho no meu nome, tá na minha imposto de renda, não tenho nada a esconder. Eu faço outro desafio agora. Eu faço eu e você amanhã e na justiça abrir a sua conta e a minha. A minha tá lá. Eu faço um desafio a você amanhã. Vamos lá. Eu e você abrir as contas minha e sua, sabe? Para que a justiça pure. E veja o que eu tô dizendo pra justiça com amigo seu que é o André Medonça, que é da sua turma. Eu me disponho a colocar meus documentos lá. E você coloca o seu, suas contas bancárias, a minha, os seus escritórios, os meus, pra gente ver quem é quem. Eu preciso provar quem é ladrão nesse país.</t>
        </is>
      </c>
    </row>
    <row r="109">
      <c r="A109" s="12" t="inlineStr">
        <is>
          <t>01:47</t>
        </is>
      </c>
      <c r="B109" s="39" t="inlineStr">
        <is>
          <t>» Eu quero provar » e eu quero que você explique como é que se eu ganho R$ 46.000 igual a você » e você consegue comprar uma casa de R$ 10 milhões deais. Me conta, não dev esse dinheiro. Vendo trabalho porque eu sou advogado, eu sou empresário há 24 anos. Eu sou deputado e senador. » Lula, você esconde o seu patrimônio, você bota em nome de terceiros. Você foi condenado por ocultação de patrimônio. Agora, por que que você, né, não abre o sigilo do cartão corporativo? Pessoal, hashtag na internet aqui. Lula abre o cartão. Por que você não tira o sigilo de 100 anos que você prometeu que ia não ia fazer e fez? Você prometeu que não ia indicar seus amigos pro Supremo, indicou. Você prometeu picanha e entregou abóbora. Lula, você não entrega nada do que você promete. Por que você vai vai continuar enganando povo brasileiro? Quanto por quanto tempo? Mentira, mentira e mentira. É</t>
        </is>
      </c>
    </row>
    <row r="110">
      <c r="A110" s="12" t="inlineStr">
        <is>
          <t>01:48</t>
        </is>
      </c>
      <c r="B110" s="39" t="inlineStr">
        <is>
          <t>[limpando a garganta] a única coisa que esse rapaz sabe fazer. Me parece que ele foi doutrinado, educado para mentir, com a maior disfaçatez, com maior descaramento. E ele mente e mente e mente e mente e repete a mentira e cita coisa que é mentira e vai mentindo. O tempo vai passando, você vai ser desmascarado domingo. Tempo esgotado Lula. Tempo esgotado. Candidato Flávio, o senhor ainda tem 1 minuto e 8 segundos. Olha, ele perde a linha, ele se descontrola, né? Porque o filho dele declarou o imóvel no nome de um laranja. Ele não declara os bens dele. O filho dele tá lá na Europa, tá na Espanha. O Lulinha, ele mora no mesmo bairro lá do Vini Júnior, um jogador de futebol famoso, que venceu na vida, que tem condições de morar num lugar caro, mas o Lulinha tá lá morando num lugar caro. Quem tá sustentando o Lulinha é a Roberta Lucinger. Roberta,</t>
        </is>
      </c>
    </row>
    <row r="111">
      <c r="A111" s="12" t="inlineStr">
        <is>
          <t>01:49</t>
        </is>
      </c>
      <c r="B111" s="39" t="inlineStr">
        <is>
          <t>ele te chamou de pilantra várias vezes, mas ele não chamou o filho dele de pilantra, porque se você é pilantra, o filho dele também é. E ele te agride porque é você a mulher. Ele fingiu que disse que não te conhecia. E aí você vai ver, ele bota sigilo nas entradas do Palácio do Alvorada. Por quê? Para esconder a entrada da Roberta Lucing lá. Se tem alguma coisa a esconder de quem entra lá no no Palacio Alvorada, por que você não tirou sigilo, né? Sobre as os voos do avião do Vorcaro. Tira o sigilo, Lula. Lula, abre o cartão, Lula. Mostra quanto é que você gastou com esse cartão nas viagens que você faz de luxo para passear pelo mundo. Isso é dinheiro público. Você deve satisfação ao povo Bolsonaro. Peço a plateia, por favor, silêncio. Candidato Flávio Bolsonaro, o senhor pediu cinco direitos de resposta. Os cinco foram negados. Os senhores tiveram 8 minutos para se manifestar e para se defender. Nós encerramos aqui essa rodada de tema livre. Vamos agora às considerações finais dos candidatos.</t>
        </is>
      </c>
    </row>
    <row r="112">
      <c r="A112" s="12" t="inlineStr">
        <is>
          <t>01:50</t>
        </is>
      </c>
      <c r="B112" s="39" t="inlineStr">
        <is>
          <t>Lembro aqui que a ordem foi definida em sorteio prévio feito na presença de assessores dos candidatos. Quem começa então é o candidato Lula do PT. Candidato, o senhor tem 1 minuto e meio para sua mensagem de despedida ao eleitor. Olha, eu quero agradecer ao povo brasileiro a paciência e pedir desculpa por coisas que vocês ouviram aqui que não merecia ouvir e pedi outra vez pro Google ver quem é que gastava mais no cartão corporativo, se é o mandato do Lula ou o mandato do Bolsonaro. Pesquisem e publiquem amanhã para vocês saberem que ele tá mentindo outra vez. Eles gastaram quase 30% a mais do que nós. Agora eu queria dizer para vocês que domingo é o dia decisivo para esse país. Domingo é o dia que vocês vão se dirigir à e vão escolher o país que</t>
        </is>
      </c>
    </row>
    <row r="113">
      <c r="A113" s="12" t="inlineStr">
        <is>
          <t>01:51</t>
        </is>
      </c>
      <c r="B113" s="39" t="inlineStr">
        <is>
          <t>vocês querem, o presente que vocês querem. Eu sou um homem que tenho biografia, tem história, [limpando a garganta] tenho uma luta junto com vocês há muito tempo. Comecei a trabalhar com 12 anos de idade. Vendi tapioca, vendi laranja, vendi amendoim, vendi sardinha, trabalhei de tutoria, de engrachado, torneiro mecânico e virei presidente da República. E vocês sabem o que nós fizemos juntos. Eu queria primeiro agradecer a vocês tudo que vocês fizeram e pedir o voto de vocês no domingo, porque ou a gente mantém a democracia funcionando ou a gente vai ter um miliciano governando esse país dentro do palácio do Planalto, o que não é bom para ninguém. Não faça essa experiência. » Tempo esgotado. Candidato Lula. » Candidato Flávio Bolsonaro, o senhor pediu um direito de resposta. O senhor tem um minuto para se defender e depois</t>
        </is>
      </c>
    </row>
    <row r="114">
      <c r="A114" s="12" t="inlineStr">
        <is>
          <t>01:52</t>
        </is>
      </c>
      <c r="B114" s="39" t="inlineStr">
        <is>
          <t>as suas considerações finais. » Olha, » o candidato aqui ele insiste em me acusar de crimes que eu nunca cometi. Desde que o Brasil foi descoberto lá em 1500. Eu nunca fui investigado por causa de envolvimento com milícia. Lula, isso é coisa da sua cabeça. Isso é coisa de gente que você tá se emprendo pelo ouvido. Eu vou combater as milícias. Eu vou classificar miliciano como organização narcoterrorista. ele vai ficar muito mais tempo preso. Eu vou libertar você que mora nessas comunidades que são dominadas por milícias e por traficantes de drogas, porque eu quero que você volte a andar em paz nas ruas. Eu quero que você volte a chegar, não essa hora que já tá um pouco tarde, mas 7, 8 da noite, estica a sua cadeirinha de praia na calçada para ficar conversando com a sua família, vendo o pô do sol, batendo papo. Eu quero que você volte a ter tranquilidade. Eu quero que você tenha a soberania de novo de andar com seu celular na rua sem ser roubada. Eu quero que você soberania sobre a sua bolsa. Eu vou devolver a sua soberania, porque quem vai andar com medo nas ruas são os marginais e não nós cidadãos de bem.</t>
        </is>
      </c>
    </row>
    <row r="115">
      <c r="A115" s="12" t="inlineStr">
        <is>
          <t>01:53</t>
        </is>
      </c>
      <c r="B115" s="39" t="inlineStr">
        <is>
          <t>» Candidato Flávio, agora as suas considerações finais. O senhor tem 1 minuto e meio para se despedir do eleitor. » Bom, em primeiro lugar eu quero agradecer a Deus por ter chegado até aqui e eu rodei esse Brasilzão todo e ouvi muitas histórias. Eu quero agradecer a você que me abraçou, que me beijou, que mandou um abraço forte pro presidente Bolsonaro, que tá sendo injustiçado, que tá confiando, tá dando seu voto de confiança em mim. Eu vou honrar o seu voto. E eu quero aqui me comprometer com três coisas. Primeiro, que eu nunca vou prometer aquilo que eu não puder cumprir. Em segundo, que eu vou devolver o seu poder de compra. você vai voltar a ter dinheiro no bolso. Em terceiro, que eu vou de verdade lutar pela sua liberdade, pela soberana do Brasil, para você voltar andar em paz nas ruas. Agora, faz uma reflexão aqui comigo. A sua vida melhorou ou piorou nos últimos 4 anos? Eles tiveram oportunidade de fazer por quase 20 anos eles não fizeram. Você tá andando com mais ou com menos</t>
        </is>
      </c>
    </row>
    <row r="116">
      <c r="A116" s="12" t="inlineStr">
        <is>
          <t>01:54</t>
        </is>
      </c>
      <c r="B116" s="39" t="inlineStr">
        <is>
          <t>medo na rua? Você tá andando com mais medo. Você tá devendo mais ou menos por causa do atual governo? Você tá devendo mais. Então eu quero te pedir humildemente, vote em Flávio Bolsonaro 22 pelo futuro, pelo futuro do da nossa nação, pelo futuro do nosso Brasil, pelo futuro da sua família, pelo seu futuro, pelo futuro dessa criança que tá aí a essa hora já no quarto do lado dormindo. O Brasil tem futuro. Eu quero agradecer de coração a cada um de vocês. Boto 22 na urna, olha no meu olho naquele momento só nós dois. Não aceite ameaças. Eu quero encerrar aqui pedindo que você em casa reze um Pai Nosso para que a nação brasileira possa se sentir tocada por Deus e tomar decisão correta no candidato Flávio. Nós encerramos assim o último debate neste segundo turno com os Muito obrigado aos candidatos, à plateia de convidados também e muito obrigado especialmente a você, eleitor e eleitora. Boa noite,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2026-10-24T14:52:36Z</dcterms:created>
  <dcterms:modified xsi:type="dcterms:W3CDTF">2026-10-24T14:52:37Z</dcterms:modified>
</cp:coreProperties>
</file>